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cny.sharepoint.com/sites/ANC/Dropbox Project Folder/ANC Current Projects/!PROJECT TRACKING/"/>
    </mc:Choice>
  </mc:AlternateContent>
  <xr:revisionPtr revIDLastSave="856" documentId="8_{19ADBE33-5F20-2E4E-B164-8734DFCC5741}" xr6:coauthVersionLast="47" xr6:coauthVersionMax="47" xr10:uidLastSave="{D9E5D555-86A8-764F-9CF8-8DB35305959D}"/>
  <bookViews>
    <workbookView xWindow="2080" yWindow="600" windowWidth="38980" windowHeight="26640" activeTab="3" xr2:uid="{24083E4D-F401-49F9-8A78-FA80E9A1C51E}"/>
  </bookViews>
  <sheets>
    <sheet name="Active Projects" sheetId="1" r:id="rId1"/>
    <sheet name="Closeout" sheetId="2" state="hidden" r:id="rId2"/>
    <sheet name="Complete" sheetId="3" state="hidden" r:id="rId3"/>
    <sheet name="On-Site PM Schedule (JOE)" sheetId="15" r:id="rId4"/>
    <sheet name="March 23" sheetId="6" state="hidden" r:id="rId5"/>
    <sheet name="Old Projects" sheetId="12" r:id="rId6"/>
    <sheet name="Sheet1" sheetId="14" r:id="rId7"/>
    <sheet name="Ops" sheetId="13" r:id="rId8"/>
  </sheets>
  <definedNames>
    <definedName name="_xlnm._FilterDatabase" localSheetId="0" hidden="1">'Active Projects'!$A$45:$GF$45</definedName>
    <definedName name="_xlnm._FilterDatabase" localSheetId="1" hidden="1">Closeout!$A$1:$ET$1</definedName>
    <definedName name="_xlnm._FilterDatabase" localSheetId="3" hidden="1">'On-Site PM Schedule (JOE)'!$A$2:$AX$25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5" l="1"/>
  <c r="D29" i="15"/>
  <c r="C29" i="15"/>
  <c r="D32" i="15"/>
  <c r="D45" i="15"/>
  <c r="B45" i="15"/>
  <c r="C45" i="15"/>
  <c r="B32" i="15" l="1"/>
  <c r="C32" i="15"/>
</calcChain>
</file>

<file path=xl/sharedStrings.xml><?xml version="1.0" encoding="utf-8"?>
<sst xmlns="http://schemas.openxmlformats.org/spreadsheetml/2006/main" count="1577" uniqueCount="769">
  <si>
    <t>Project Name / Number</t>
  </si>
  <si>
    <t>PM</t>
  </si>
  <si>
    <t>Notes</t>
  </si>
  <si>
    <t>Install Onsite Date</t>
  </si>
  <si>
    <t>Substantial Completion</t>
  </si>
  <si>
    <t>Control System</t>
  </si>
  <si>
    <t>Product Supplier</t>
  </si>
  <si>
    <t>LED Ship Date</t>
  </si>
  <si>
    <t>Shipping Method</t>
  </si>
  <si>
    <t>LED on-site</t>
  </si>
  <si>
    <t>Structural Engineer</t>
  </si>
  <si>
    <t>Electrical Engineer</t>
  </si>
  <si>
    <t>Install Sub</t>
  </si>
  <si>
    <t>Electrical Sub</t>
  </si>
  <si>
    <t>Baltimore Ravens</t>
  </si>
  <si>
    <t>Jesse</t>
  </si>
  <si>
    <t>5/9 - 8/1</t>
  </si>
  <si>
    <t>Ross</t>
  </si>
  <si>
    <t>Nitxeon/LG</t>
  </si>
  <si>
    <t>Mesh: 6/20 Indoor: 6/19 NE Expansion: 6/30 GA5/6: 7/20 Outdoor: 6/24</t>
  </si>
  <si>
    <t>Howard</t>
  </si>
  <si>
    <t>Peno</t>
  </si>
  <si>
    <t>EST/Caleb</t>
  </si>
  <si>
    <t>Malstrom</t>
  </si>
  <si>
    <t>Boise State Ribbons</t>
  </si>
  <si>
    <t>Jeff</t>
  </si>
  <si>
    <t>Livesync</t>
  </si>
  <si>
    <t>LG</t>
  </si>
  <si>
    <t>Onsite</t>
  </si>
  <si>
    <t>Ocean</t>
  </si>
  <si>
    <t>EST</t>
  </si>
  <si>
    <t>Anderson</t>
  </si>
  <si>
    <t>Captiol One Arena DP2 and Lofts</t>
  </si>
  <si>
    <t xml:space="preserve">David T / Jesse </t>
  </si>
  <si>
    <t>Punch</t>
  </si>
  <si>
    <t>WiPro</t>
  </si>
  <si>
    <t>Charlotte Hornets - IPF</t>
  </si>
  <si>
    <t>Jesse / JP</t>
  </si>
  <si>
    <t>Livesync/Players?</t>
  </si>
  <si>
    <t>12/15ish</t>
  </si>
  <si>
    <t>Murdoch</t>
  </si>
  <si>
    <t>Heritage Chicago</t>
  </si>
  <si>
    <t>Dagan</t>
  </si>
  <si>
    <t>n/a</t>
  </si>
  <si>
    <t>Air</t>
  </si>
  <si>
    <t>TBD</t>
  </si>
  <si>
    <t>Indiana University</t>
  </si>
  <si>
    <t xml:space="preserve">LED Ordered, OES ordered, onsite coverage needs early July </t>
  </si>
  <si>
    <t>Yaham</t>
  </si>
  <si>
    <t>9/15ish</t>
  </si>
  <si>
    <t>ML</t>
  </si>
  <si>
    <t>Sun</t>
  </si>
  <si>
    <t>Indiana Fever</t>
  </si>
  <si>
    <t>MetLife Stadium</t>
  </si>
  <si>
    <t>Now</t>
  </si>
  <si>
    <t>done</t>
  </si>
  <si>
    <t>EST/Decker</t>
  </si>
  <si>
    <t>RCR</t>
  </si>
  <si>
    <t>Nashville SI</t>
  </si>
  <si>
    <t>Owner</t>
  </si>
  <si>
    <t>In transit</t>
  </si>
  <si>
    <t>Baker</t>
  </si>
  <si>
    <t>Scotia Bank Center (Maple Leafs) - Phase 4</t>
  </si>
  <si>
    <t>Atec</t>
  </si>
  <si>
    <t>Atec/Ramcom</t>
  </si>
  <si>
    <t>Bilt</t>
  </si>
  <si>
    <t>Jesse / Nick</t>
  </si>
  <si>
    <t>Cavs Totem</t>
  </si>
  <si>
    <t xml:space="preserve">On hold </t>
  </si>
  <si>
    <t>Philadephia Union</t>
  </si>
  <si>
    <t>Jesse/JP</t>
  </si>
  <si>
    <t>LED Delivery 7/1</t>
  </si>
  <si>
    <t>Metzger</t>
  </si>
  <si>
    <t>Rutgers Ribbon</t>
  </si>
  <si>
    <t>JP</t>
  </si>
  <si>
    <t>Washington Commanders</t>
  </si>
  <si>
    <t>NST</t>
  </si>
  <si>
    <t>NBC - 9C</t>
  </si>
  <si>
    <t>In stock</t>
  </si>
  <si>
    <t>In Stock</t>
  </si>
  <si>
    <t>ITI</t>
  </si>
  <si>
    <t>NTM - Union Station</t>
  </si>
  <si>
    <t>Jesse/ David T</t>
  </si>
  <si>
    <t>Cameras to be installed Friday , Garage display to be ordered</t>
  </si>
  <si>
    <t>NTM - Sofitel</t>
  </si>
  <si>
    <t>Alex / ?</t>
  </si>
  <si>
    <t xml:space="preserve">Engineering in progress - load study. 4/24 submittal </t>
  </si>
  <si>
    <t>NTM - Hotel Figueroa</t>
  </si>
  <si>
    <t xml:space="preserve">*Waiting on contact signoff </t>
  </si>
  <si>
    <t>NTM - 939 Sunset</t>
  </si>
  <si>
    <t>OBM Arsht</t>
  </si>
  <si>
    <t>ON HOLD - City Commissioning meeting in June</t>
  </si>
  <si>
    <t>OBM Legacy Union</t>
  </si>
  <si>
    <t>ON HOLD</t>
  </si>
  <si>
    <t xml:space="preserve">OBM - San Antonio </t>
  </si>
  <si>
    <t>OBM Sunset Cinema</t>
  </si>
  <si>
    <t>LucentHD</t>
  </si>
  <si>
    <t>OBM - Cloud</t>
  </si>
  <si>
    <t>Waiting on official sign off</t>
  </si>
  <si>
    <t>OBM - Blossom</t>
  </si>
  <si>
    <t>OBM - Santa Monica - 301 Arizona</t>
  </si>
  <si>
    <t>Signed off</t>
  </si>
  <si>
    <t>OBM - Santa Monica - 1202 3rd St</t>
  </si>
  <si>
    <t>OBM San Jose</t>
  </si>
  <si>
    <t>DAK</t>
  </si>
  <si>
    <t>OBM Denver - Home2</t>
  </si>
  <si>
    <t xml:space="preserve">Submitted for permitting </t>
  </si>
  <si>
    <t>LucentE3</t>
  </si>
  <si>
    <t>Houston Rockets</t>
  </si>
  <si>
    <t>Coordination ongoing</t>
  </si>
  <si>
    <t>Liverpool</t>
  </si>
  <si>
    <t>7/6 demo/structure 7/23 LED</t>
  </si>
  <si>
    <t>Train</t>
  </si>
  <si>
    <t>SSUK</t>
  </si>
  <si>
    <t>Red Bulls LCD</t>
  </si>
  <si>
    <t>Westfield WTC</t>
  </si>
  <si>
    <t xml:space="preserve">Closeout / Punchlist </t>
  </si>
  <si>
    <t>Project Name</t>
  </si>
  <si>
    <t xml:space="preserve">OBM Arlington </t>
  </si>
  <si>
    <t>*Project completed</t>
  </si>
  <si>
    <t>Translux</t>
  </si>
  <si>
    <t>OBM Choctaw</t>
  </si>
  <si>
    <t xml:space="preserve">*Project completed - Mask issue, Eric/Dagan working with INFI/LG </t>
  </si>
  <si>
    <t>July</t>
  </si>
  <si>
    <t>New Tradition Sofitel - Install</t>
  </si>
  <si>
    <t xml:space="preserve">*Project completed
</t>
  </si>
  <si>
    <t>OBM Brooks Tower</t>
  </si>
  <si>
    <t>6/9 - 6/13</t>
  </si>
  <si>
    <t>Portland Trailblazers</t>
  </si>
  <si>
    <t>Daniel / JW</t>
  </si>
  <si>
    <t xml:space="preserve">Cable drop issue </t>
  </si>
  <si>
    <t>June/July/August</t>
  </si>
  <si>
    <t>Orlando Magic</t>
  </si>
  <si>
    <t>Eric</t>
  </si>
  <si>
    <t>Fifth Third Arena-Chicago Blackhawks</t>
  </si>
  <si>
    <t>Jeff Jones</t>
  </si>
  <si>
    <t>Project complete</t>
  </si>
  <si>
    <t>October/November</t>
  </si>
  <si>
    <t>DC Metro Convention Center</t>
  </si>
  <si>
    <t>Brush Street</t>
  </si>
  <si>
    <t>49ers</t>
  </si>
  <si>
    <t xml:space="preserve">49ers talking with Devcon </t>
  </si>
  <si>
    <t>June - August</t>
  </si>
  <si>
    <t xml:space="preserve">Nitxeon </t>
  </si>
  <si>
    <t>DC Metro - Navy Yard</t>
  </si>
  <si>
    <t>Jesse/ Michael</t>
  </si>
  <si>
    <t>DBH - Gwinnett Stripers</t>
  </si>
  <si>
    <t>Project Complete</t>
  </si>
  <si>
    <t>Dak</t>
  </si>
  <si>
    <t>FDU</t>
  </si>
  <si>
    <t xml:space="preserve">Shot clocks installed </t>
  </si>
  <si>
    <t>September / October</t>
  </si>
  <si>
    <t>LA Dodgers -</t>
  </si>
  <si>
    <t>Complete, data cable replacement</t>
  </si>
  <si>
    <t>Xfinity</t>
  </si>
  <si>
    <t>Complete</t>
  </si>
  <si>
    <t>AT&amp;T Times Square</t>
  </si>
  <si>
    <t>Alex / Nick</t>
  </si>
  <si>
    <t>*Awaiting installation of lights. Waiting on cable from LG</t>
  </si>
  <si>
    <t>DBH - New Hampshire Fisher Cats</t>
  </si>
  <si>
    <t>Oakridge</t>
  </si>
  <si>
    <t xml:space="preserve">Florida Panthers </t>
  </si>
  <si>
    <t>Jack / Jesse</t>
  </si>
  <si>
    <t>June/July</t>
  </si>
  <si>
    <t>EST/NST</t>
  </si>
  <si>
    <t>Florida Panthers Marquee's</t>
  </si>
  <si>
    <t xml:space="preserve">Complete </t>
  </si>
  <si>
    <t>Start</t>
  </si>
  <si>
    <t>Finish</t>
  </si>
  <si>
    <t>Onsite Start</t>
  </si>
  <si>
    <t>Onsite Finish</t>
  </si>
  <si>
    <t>Resource Names</t>
  </si>
  <si>
    <t>Phase</t>
  </si>
  <si>
    <t>Punchlist</t>
  </si>
  <si>
    <t>Training</t>
  </si>
  <si>
    <t>Closeout Docs</t>
  </si>
  <si>
    <t>Signoff</t>
  </si>
  <si>
    <t>Product Issues</t>
  </si>
  <si>
    <t>Final Payment Invoiced</t>
  </si>
  <si>
    <t>Final Payment Rec'd</t>
  </si>
  <si>
    <t>270 Park - East Side Access</t>
  </si>
  <si>
    <t>Sat 1/15/22</t>
  </si>
  <si>
    <t>Tue 2/15/22</t>
  </si>
  <si>
    <t>closeout</t>
  </si>
  <si>
    <t>Spare parts quote from Digi (invoice Tishman directly) - Paid in full</t>
  </si>
  <si>
    <t>Module swap</t>
  </si>
  <si>
    <t>x</t>
  </si>
  <si>
    <t>Cal Berkeley Football</t>
  </si>
  <si>
    <t>Mon 5/2/22</t>
  </si>
  <si>
    <t>Fri 8/5/22</t>
  </si>
  <si>
    <t>Andrew,Blayne</t>
  </si>
  <si>
    <t xml:space="preserve">Trim to be installed tomorrow, this weekend </t>
  </si>
  <si>
    <t>EST onsite to finish trim</t>
  </si>
  <si>
    <t>BC/KC - meet/review</t>
  </si>
  <si>
    <t>Columbia U</t>
  </si>
  <si>
    <t>Mon 8/1/22</t>
  </si>
  <si>
    <t>Sat 10/1/22</t>
  </si>
  <si>
    <t>Daniel,Jesse</t>
  </si>
  <si>
    <t>OES instaled, being wired this week</t>
  </si>
  <si>
    <t>OES delievery to install clock-December</t>
  </si>
  <si>
    <t>Fenway Park</t>
  </si>
  <si>
    <t>Fri 10/8/21</t>
  </si>
  <si>
    <t>Fri 4/15/22</t>
  </si>
  <si>
    <t>Daniel</t>
  </si>
  <si>
    <t xml:space="preserve">Malik working with Michael to close this out to receive payment </t>
  </si>
  <si>
    <t>TIN Building Round 2</t>
  </si>
  <si>
    <t>Sun 2/20/22</t>
  </si>
  <si>
    <t>Wed 3/23/22</t>
  </si>
  <si>
    <t>Malik, waiting on feedback from client</t>
  </si>
  <si>
    <t>Vanderbilt</t>
  </si>
  <si>
    <t>Mon 9/27/21</t>
  </si>
  <si>
    <t>Daniel,Jeff</t>
  </si>
  <si>
    <t>Pixel damage, corner mesh move/replace</t>
  </si>
  <si>
    <t>EST finalizing mesh 11/4</t>
  </si>
  <si>
    <t>Crowley ISD</t>
  </si>
  <si>
    <t>Fri 10/15/21</t>
  </si>
  <si>
    <t>Daniel,Blayne</t>
  </si>
  <si>
    <t>Blayne / Felipe working on punchlist</t>
  </si>
  <si>
    <t>Pixel issues in progress</t>
  </si>
  <si>
    <t>Westgate</t>
  </si>
  <si>
    <t>Fri 7/15/22</t>
  </si>
  <si>
    <t>Malik</t>
  </si>
  <si>
    <t>Pre-construction</t>
  </si>
  <si>
    <t>CO for ladder sent to AJP - Call Kirsten</t>
  </si>
  <si>
    <t>Royal Caribbean</t>
  </si>
  <si>
    <t>Mon 8/22/22</t>
  </si>
  <si>
    <t>Andrew</t>
  </si>
  <si>
    <t>Closeout</t>
  </si>
  <si>
    <t>Pixel repairs, time for Tommy onsite for repairs.  Finalize CO's with client.</t>
  </si>
  <si>
    <t>Ohio State Field Hockey</t>
  </si>
  <si>
    <t>Mon 3/21/22</t>
  </si>
  <si>
    <t xml:space="preserve">Need payment </t>
  </si>
  <si>
    <t>Indiana Pacers</t>
  </si>
  <si>
    <t>Sun 8/15/21</t>
  </si>
  <si>
    <t>Sun 11/6/22</t>
  </si>
  <si>
    <t>onsite</t>
  </si>
  <si>
    <t>JJ-Punchlist issued / Digi issue w/seams</t>
  </si>
  <si>
    <t>Jeff Jones f/u on walk thru</t>
  </si>
  <si>
    <t>Ohio State Lacrosse</t>
  </si>
  <si>
    <t>Outstanding: test all OES/virtual scoring and install netting</t>
  </si>
  <si>
    <t>Omni PGA Frisco Resort</t>
  </si>
  <si>
    <t>Jessie</t>
  </si>
  <si>
    <t>Wrapping up next week, internet done this week. Felipe onsite next week.</t>
  </si>
  <si>
    <t>LA Dodgers Stadium Club</t>
  </si>
  <si>
    <t>Daniel/Jackson</t>
  </si>
  <si>
    <t>Install 1/11/2023</t>
  </si>
  <si>
    <t>U of Pittsburg</t>
  </si>
  <si>
    <t>final walk pending</t>
  </si>
  <si>
    <t>Cal Berkeley Softball</t>
  </si>
  <si>
    <t>Mon 5/9/22</t>
  </si>
  <si>
    <t>Fri 5/13/22</t>
  </si>
  <si>
    <t>complete</t>
  </si>
  <si>
    <t>Chicago Renaissance Hotel</t>
  </si>
  <si>
    <t>Fri 11/12/21</t>
  </si>
  <si>
    <t>Wed 6/15/22</t>
  </si>
  <si>
    <t>Louisville Football Ribbons</t>
  </si>
  <si>
    <t>Fri 9/17/21</t>
  </si>
  <si>
    <t>Wed 10/6/21</t>
  </si>
  <si>
    <t>University of Louisville Angels Envy</t>
  </si>
  <si>
    <t>Mon 7/4/22</t>
  </si>
  <si>
    <t>Sun 8/7/22</t>
  </si>
  <si>
    <t>rec'd final payment 10/21/2022</t>
  </si>
  <si>
    <t>University of Louisville Field Hockey</t>
  </si>
  <si>
    <t>Mon 8/9/21</t>
  </si>
  <si>
    <t>University of Louisville Lacrosse</t>
  </si>
  <si>
    <t>Mon 11/1/21</t>
  </si>
  <si>
    <t>Fri 12/24/21</t>
  </si>
  <si>
    <t>Western Kentucky</t>
  </si>
  <si>
    <t>Fri 7/29/22</t>
  </si>
  <si>
    <t>Fri 8/26/22</t>
  </si>
  <si>
    <t>Temple IPTV</t>
  </si>
  <si>
    <t>Mon 8/16/21</t>
  </si>
  <si>
    <t>Jesse,Jackson</t>
  </si>
  <si>
    <t>Bill in full</t>
  </si>
  <si>
    <t>Moynihan Mount Replacement</t>
  </si>
  <si>
    <t>Daniel overnight work  - 12/18</t>
  </si>
  <si>
    <t>Phillies - IPTV</t>
  </si>
  <si>
    <t>Sun 3/13/22</t>
  </si>
  <si>
    <t>Jackson</t>
  </si>
  <si>
    <t>Expanding-ordering more</t>
  </si>
  <si>
    <t>College of Charleston</t>
  </si>
  <si>
    <t>Sun 2/27/22</t>
  </si>
  <si>
    <t>Sun 7/10/22</t>
  </si>
  <si>
    <t>Waiting on final payment</t>
  </si>
  <si>
    <t>Brick and Bev - Armory</t>
  </si>
  <si>
    <t>Thu 9/1/22</t>
  </si>
  <si>
    <t>Completeing closeout docs - repaired mods back onsite</t>
  </si>
  <si>
    <t xml:space="preserve">NBC </t>
  </si>
  <si>
    <t>As built and closeout done</t>
  </si>
  <si>
    <t>Waiting on Analog Way Payment for completion</t>
  </si>
  <si>
    <t>Revenue</t>
  </si>
  <si>
    <t>Margin</t>
  </si>
  <si>
    <t>IC Cost</t>
  </si>
  <si>
    <t>February</t>
  </si>
  <si>
    <t>March</t>
  </si>
  <si>
    <t>April</t>
  </si>
  <si>
    <t>May</t>
  </si>
  <si>
    <t>June</t>
  </si>
  <si>
    <t>August</t>
  </si>
  <si>
    <t>September</t>
  </si>
  <si>
    <t>October</t>
  </si>
  <si>
    <t>November</t>
  </si>
  <si>
    <t>December</t>
  </si>
  <si>
    <t>Project</t>
  </si>
  <si>
    <t>Integration</t>
  </si>
  <si>
    <t>Integration Onsite</t>
  </si>
  <si>
    <t>Week #1</t>
  </si>
  <si>
    <t>Week #2</t>
  </si>
  <si>
    <t>Week #3</t>
  </si>
  <si>
    <t>Week #4</t>
  </si>
  <si>
    <t>Baltimore Ravens NW Plaza, Ticket Windows, Ribbons, TVs</t>
  </si>
  <si>
    <t>Jesse / ?</t>
  </si>
  <si>
    <t>Boise State Endzone Ribbons</t>
  </si>
  <si>
    <t>Jeff / Jeff</t>
  </si>
  <si>
    <t>Captiol One Arena DP6 Project</t>
  </si>
  <si>
    <t>Visibowl Cameras</t>
  </si>
  <si>
    <t>other</t>
  </si>
  <si>
    <t>Jeff / Tony  (FT Boston)</t>
  </si>
  <si>
    <t>DC Metro</t>
  </si>
  <si>
    <t>Daniel / Ops?</t>
  </si>
  <si>
    <t>Eric / JW</t>
  </si>
  <si>
    <t>Jesse / Jesse</t>
  </si>
  <si>
    <t>Nashville - SI</t>
  </si>
  <si>
    <t>Jesse/JW</t>
  </si>
  <si>
    <t>Boise State -- West Fascia Ribbon Relocation and New East Ribbon</t>
  </si>
  <si>
    <t>Jeff/Jeff/Ben Adams?</t>
  </si>
  <si>
    <t>Philadelphia Union - Pitch Side</t>
  </si>
  <si>
    <t>Jesse/Dennis</t>
  </si>
  <si>
    <t>Houston Rockets - LG Technology Refresh</t>
  </si>
  <si>
    <t xml:space="preserve">Jesse / Ben Adams? / JW? </t>
  </si>
  <si>
    <t>MLSE - Scotiabank Arena - Phase 4 - 2026 Upgrades</t>
  </si>
  <si>
    <t>?</t>
  </si>
  <si>
    <t>CocaCola</t>
  </si>
  <si>
    <t>Temple University</t>
  </si>
  <si>
    <t>Rutgers</t>
  </si>
  <si>
    <t>Jesse / Nick / PT</t>
  </si>
  <si>
    <t>Wahington Commanders</t>
  </si>
  <si>
    <t xml:space="preserve">Jesse / Michael Lewis? </t>
  </si>
  <si>
    <t>University of Maine - New Campus (Morse Arena)</t>
  </si>
  <si>
    <t>Jeff /</t>
  </si>
  <si>
    <t>Indiana Fever -- Sports Performance Center</t>
  </si>
  <si>
    <t>NBCU - 9C Project at 30 Rockefeller Center</t>
  </si>
  <si>
    <t>Wells Fargo Center Club Level Displays</t>
  </si>
  <si>
    <t>Philadelphia Eagles - Marquees ?</t>
  </si>
  <si>
    <t>World Trade Center</t>
  </si>
  <si>
    <t>ATT LG NYC</t>
  </si>
  <si>
    <t>Jesse / Nick (FT NYC)</t>
  </si>
  <si>
    <t>BILT - NYC HQ (837 Washington Street) Atrium Screen LED ONLY</t>
  </si>
  <si>
    <t>OBM Projects</t>
  </si>
  <si>
    <t>OBM - 51 Brookline</t>
  </si>
  <si>
    <t>Dagan / Degan / Tony (FT Boston)</t>
  </si>
  <si>
    <t>OBM - Adrieene Arsht Center Digital Spectacular West (Miami)</t>
  </si>
  <si>
    <t>OBM - Adrienne Arsht Center Digital Spectacular East (Miami)</t>
  </si>
  <si>
    <t>OBM - San Jose McEnery CC R1</t>
  </si>
  <si>
    <t xml:space="preserve">Dagan / Dagan </t>
  </si>
  <si>
    <t xml:space="preserve">OBM - San Jose - 2nd and San Carlos </t>
  </si>
  <si>
    <t>Dagan  / Dagan</t>
  </si>
  <si>
    <t>OBM - Denver - Home 2 Suites</t>
  </si>
  <si>
    <t>Dagan / Dagan / Commissioning 6/30</t>
  </si>
  <si>
    <t>OBM - Denver - Aloft</t>
  </si>
  <si>
    <t>OBM - Santa Monica 1</t>
  </si>
  <si>
    <t>Dagan / Commissioning 7/20</t>
  </si>
  <si>
    <t>Dagan / Dagan</t>
  </si>
  <si>
    <t>OBM - Santa Monica 2</t>
  </si>
  <si>
    <t>OBM - Sunset Cinema  - Phase 2 (2027)</t>
  </si>
  <si>
    <t>Dagan / Commissioning 11/9</t>
  </si>
  <si>
    <t>OBM - San Jose Market and San Jose (2027)</t>
  </si>
  <si>
    <t>OBM - Los Angeles Cloud (2007)</t>
  </si>
  <si>
    <t>NTM and Heratage Projects</t>
  </si>
  <si>
    <t>Heritage - Chicago OOH (Open to Buy)</t>
  </si>
  <si>
    <t>Supply Only</t>
  </si>
  <si>
    <t>David / Pat</t>
  </si>
  <si>
    <t>NTM - Los Angeles - Sofitel P3/4</t>
  </si>
  <si>
    <t>NTM - Sunset 1</t>
  </si>
  <si>
    <t>NTM - Los Angeles Hotel Figueroa (2027)</t>
  </si>
  <si>
    <t>NTM - Sunset 2 (2027)</t>
  </si>
  <si>
    <t>KSP - Portfolio RFP</t>
  </si>
  <si>
    <t>Galveston Terminal Pier 16 - Hensel Phelps - 2025 Additional Displays</t>
  </si>
  <si>
    <t>Cleveland Cavaliers - LED Totem - AJP RFP</t>
  </si>
  <si>
    <t>Philadelphia Eagles - Full Scope</t>
  </si>
  <si>
    <t>Done: Paid and Closed Out</t>
  </si>
  <si>
    <t>Portland Timbers</t>
  </si>
  <si>
    <t>Yes</t>
  </si>
  <si>
    <t xml:space="preserve">No, Daniel </t>
  </si>
  <si>
    <t>None</t>
  </si>
  <si>
    <t>Lighthouse</t>
  </si>
  <si>
    <t>Texas Tech Underbelly</t>
  </si>
  <si>
    <t>Rutgers Football</t>
  </si>
  <si>
    <t>No</t>
  </si>
  <si>
    <t>Vanderbilt Module Replacement</t>
  </si>
  <si>
    <t>College of Charleston Baseball</t>
  </si>
  <si>
    <t>Felipe</t>
  </si>
  <si>
    <t>On-Site</t>
  </si>
  <si>
    <t>U of Alabama, Football</t>
  </si>
  <si>
    <t>Prudential Center</t>
  </si>
  <si>
    <t>PSU Football Practice</t>
  </si>
  <si>
    <t>SNA Install</t>
  </si>
  <si>
    <t>Ole Miss Team Room</t>
  </si>
  <si>
    <t>Planar</t>
  </si>
  <si>
    <t>Rutgers Baseball/Softball/Soccer</t>
  </si>
  <si>
    <t>SMU Football North End Zone</t>
  </si>
  <si>
    <t xml:space="preserve">In Progress </t>
  </si>
  <si>
    <t>Renaldo</t>
  </si>
  <si>
    <t>University of Rhode Island</t>
  </si>
  <si>
    <t>Paul</t>
  </si>
  <si>
    <r>
      <t>LN-Amer</t>
    </r>
    <r>
      <rPr>
        <sz val="11"/>
        <color theme="1"/>
        <rFont val="Calibri (Body)"/>
      </rPr>
      <t>is - Atlanta</t>
    </r>
  </si>
  <si>
    <t>Diversified</t>
  </si>
  <si>
    <t>DigiLED</t>
  </si>
  <si>
    <t>Fulton ReFresh</t>
  </si>
  <si>
    <t>DM</t>
  </si>
  <si>
    <t>LiveSync</t>
  </si>
  <si>
    <t>Installed</t>
  </si>
  <si>
    <t>Washington Commanders Football</t>
  </si>
  <si>
    <t>Ross/DAK by Others</t>
  </si>
  <si>
    <t>BMO Harris</t>
  </si>
  <si>
    <t>Daniel/Jeff</t>
  </si>
  <si>
    <t>Iona Prep</t>
  </si>
  <si>
    <t>JJ</t>
  </si>
  <si>
    <t xml:space="preserve">LED in production </t>
  </si>
  <si>
    <t>Arkansas South Scoreboard and Ribbons</t>
  </si>
  <si>
    <t>Portland Trailblazers Voms</t>
  </si>
  <si>
    <t>Currently Ongoing</t>
  </si>
  <si>
    <t>Taylor Nebeker</t>
  </si>
  <si>
    <t>Superdome Capital Improvements - Phase 2 (NEED FINAL PAYMENT)</t>
  </si>
  <si>
    <t>Texas Motor Speedway</t>
  </si>
  <si>
    <t>USC, Hall of Fame</t>
  </si>
  <si>
    <t>Jack</t>
  </si>
  <si>
    <t>Marshall University - Softball</t>
  </si>
  <si>
    <t>closeout docs sent to client 4.15.24</t>
  </si>
  <si>
    <t>Marshall University - Baseball</t>
  </si>
  <si>
    <t>Marshall University - Football</t>
  </si>
  <si>
    <t>Tishomingo Center AV</t>
  </si>
  <si>
    <t>Closeout docs sent to client 4.26.24</t>
  </si>
  <si>
    <t>Melissa ISD Football</t>
  </si>
  <si>
    <t>Alabama Baseball and Softball</t>
  </si>
  <si>
    <t>USC Tennis</t>
  </si>
  <si>
    <t xml:space="preserve">
closeout package ready to send 4.15.24 - on file when needed</t>
  </si>
  <si>
    <t>Mets Home Plate</t>
  </si>
  <si>
    <t>closeout package ready to send 4.15.24 - on file when needed</t>
  </si>
  <si>
    <t>Arkansas Home Plate</t>
  </si>
  <si>
    <t>training; rack drawings (if applicable)</t>
  </si>
  <si>
    <t>ATL Airport-Hartsfield-Jackson Domestic Terminal</t>
  </si>
  <si>
    <t xml:space="preserve">
closeout package ready to send 4.26.24 - on file when needed</t>
  </si>
  <si>
    <t>Esprit</t>
  </si>
  <si>
    <t>Closeout/Punchlist; rack drawings (if applicable)</t>
  </si>
  <si>
    <t>Click</t>
  </si>
  <si>
    <t xml:space="preserve">Penn State Baseball </t>
  </si>
  <si>
    <t>closeout sent 6/18/24</t>
  </si>
  <si>
    <t>JM</t>
  </si>
  <si>
    <t xml:space="preserve">Cal Berkely </t>
  </si>
  <si>
    <t xml:space="preserve">LED installed and operational </t>
  </si>
  <si>
    <t xml:space="preserve">complete </t>
  </si>
  <si>
    <t xml:space="preserve">Jack </t>
  </si>
  <si>
    <t xml:space="preserve">Washington Nationals </t>
  </si>
  <si>
    <t>JV</t>
  </si>
  <si>
    <t xml:space="preserve">Brewers CF/RF Scoreboard </t>
  </si>
  <si>
    <t xml:space="preserve">
Closeout/Punchlist</t>
  </si>
  <si>
    <t>Samsung</t>
  </si>
  <si>
    <t>Wells Fargo Center Outdoor</t>
  </si>
  <si>
    <t>Arkansas Soccer</t>
  </si>
  <si>
    <t>Jeff/Jack</t>
  </si>
  <si>
    <t>U of Maine Hockey</t>
  </si>
  <si>
    <t>closeout sent 7.29.24</t>
  </si>
  <si>
    <t xml:space="preserve">Cross Insurance Arena </t>
  </si>
  <si>
    <t>Install 7/29</t>
  </si>
  <si>
    <t>Javits Center</t>
  </si>
  <si>
    <t>LED install ongoing, waiting to test 7/29 or 7/30</t>
  </si>
  <si>
    <t xml:space="preserve">Onsite </t>
  </si>
  <si>
    <t>Brightsign</t>
  </si>
  <si>
    <t>Marshall University - Soccer</t>
  </si>
  <si>
    <t>LED up and running</t>
  </si>
  <si>
    <t xml:space="preserve">Perth </t>
  </si>
  <si>
    <t>Chris D onsite for install</t>
  </si>
  <si>
    <t>Amica Mutual Pavilion</t>
  </si>
  <si>
    <t xml:space="preserve">Waiting closeout and final inspection by state </t>
  </si>
  <si>
    <t>Baylor Arena</t>
  </si>
  <si>
    <t>Courtside issues, final OES testing womens court, XLR plate install</t>
  </si>
  <si>
    <t>West Virginia Football</t>
  </si>
  <si>
    <t>closeout docs</t>
  </si>
  <si>
    <t>Chyron</t>
  </si>
  <si>
    <t>NBC Peacock Lounge and Team Store</t>
  </si>
  <si>
    <t>Punchlist/closeout</t>
  </si>
  <si>
    <t>installed</t>
  </si>
  <si>
    <t>SMU Field Level</t>
  </si>
  <si>
    <t>LED testing to be done today; closeout docs sent 10/9/24</t>
  </si>
  <si>
    <t>In Argyle</t>
  </si>
  <si>
    <t>SMU South Endzone</t>
  </si>
  <si>
    <t>closeout docs sent 9/18/24</t>
  </si>
  <si>
    <t xml:space="preserve">Ross </t>
  </si>
  <si>
    <t>OSU-Reser Stadium</t>
  </si>
  <si>
    <t>Daniel working with Joe on this.</t>
  </si>
  <si>
    <t>Commanders</t>
  </si>
  <si>
    <t xml:space="preserve">Toyota Center Voms Marquee, End Zone, Ribbons, and CH </t>
  </si>
  <si>
    <t>closeout, final punch 9/26</t>
  </si>
  <si>
    <t>Daniel/Renaldo</t>
  </si>
  <si>
    <t>Toyota Center, Hockey Voms</t>
  </si>
  <si>
    <t>Ex-fac 9/30</t>
  </si>
  <si>
    <t xml:space="preserve">Arizona Athlietci Grounds </t>
  </si>
  <si>
    <t>LED installed, waiting on fiber.</t>
  </si>
  <si>
    <t>ongoing</t>
  </si>
  <si>
    <t xml:space="preserve">Jeff </t>
  </si>
  <si>
    <t>Toyota Center, CH</t>
  </si>
  <si>
    <t>Control Room</t>
  </si>
  <si>
    <t>Charlotte Motor Speedway</t>
  </si>
  <si>
    <t>Waiting punchlist walk with GoVision</t>
  </si>
  <si>
    <t>Ethan</t>
  </si>
  <si>
    <t>Digi</t>
  </si>
  <si>
    <t>Joe Gibbs Racing</t>
  </si>
  <si>
    <t xml:space="preserve">Ex-fac 11/30, supply only </t>
  </si>
  <si>
    <t>American Airlines Center Hung</t>
  </si>
  <si>
    <t>Final Closeout/cleanup items. Pixel repair, color calibration, final backup testing
Trash or keep Samsung CH Product
11.1 - Closeout package emailed to client</t>
  </si>
  <si>
    <t>American Airlines Center Locker Room</t>
  </si>
  <si>
    <t xml:space="preserve">LED install complete </t>
  </si>
  <si>
    <t>Smoothie King Center Voms and Marquee</t>
  </si>
  <si>
    <t>Closeout, waiting final punchlist from Eileen</t>
  </si>
  <si>
    <t>Smoothie King Center Ribbons</t>
  </si>
  <si>
    <t>waiting laptop to arrive.</t>
  </si>
  <si>
    <t>La Salle</t>
  </si>
  <si>
    <t>Jack/Jesse</t>
  </si>
  <si>
    <t>Wyoming</t>
  </si>
  <si>
    <t xml:space="preserve">Toyota Center </t>
  </si>
  <si>
    <t>Chris D and Nova onsite 1/10 and 1/11</t>
  </si>
  <si>
    <t>SKC</t>
  </si>
  <si>
    <t xml:space="preserve">Nova remote troubleshooting 1/2 and onsite 1/27 pending remote support </t>
  </si>
  <si>
    <t xml:space="preserve">Prudential Center </t>
  </si>
  <si>
    <t>Dane onsite 1/6 to troubleshoot HDMI extenders</t>
  </si>
  <si>
    <t>Select Financials</t>
  </si>
  <si>
    <t>Felipe onsite 12/30 and 12/31</t>
  </si>
  <si>
    <t>Prudetnail Center</t>
  </si>
  <si>
    <t>rack, velcro, PC, for foundry bar</t>
  </si>
  <si>
    <t>Xavier Courtside</t>
  </si>
  <si>
    <t>*Shipping 1/29/25</t>
  </si>
  <si>
    <t>Ex-fac: 1/29</t>
  </si>
  <si>
    <t>PPG Arena</t>
  </si>
  <si>
    <t>Closeout, waiting on Invetory</t>
  </si>
  <si>
    <t xml:space="preserve">Daniel </t>
  </si>
  <si>
    <t>Pacers 360 Ribbon and Endzones</t>
  </si>
  <si>
    <t xml:space="preserve">Power control and trim installed as of week 1/27
</t>
  </si>
  <si>
    <t>Baylor</t>
  </si>
  <si>
    <t>Stanchion install 2/5</t>
  </si>
  <si>
    <t>WVU</t>
  </si>
  <si>
    <t xml:space="preserve">Padding adjustments
</t>
  </si>
  <si>
    <t>Foggers to stay or be removed so we can closeout project 
2.7.25 - closeout file complete &amp; ready for distribution - KGS</t>
  </si>
  <si>
    <t>JetBlue</t>
  </si>
  <si>
    <t>*LED testing next week, LED Installed</t>
  </si>
  <si>
    <t xml:space="preserve">Installed </t>
  </si>
  <si>
    <t>Ongoing</t>
  </si>
  <si>
    <t>Detroit Tigers HP</t>
  </si>
  <si>
    <t>*LED install 3/30</t>
  </si>
  <si>
    <t>Ex-fac: 3/1</t>
  </si>
  <si>
    <t>LA Dodgers Locker Room and Meeting Ops</t>
  </si>
  <si>
    <t>*Install ongoing</t>
  </si>
  <si>
    <t>Ex-fac: 2/20</t>
  </si>
  <si>
    <t>LA Dodgers HP</t>
  </si>
  <si>
    <t>*Spare Parts</t>
  </si>
  <si>
    <t xml:space="preserve">Diamod Desert Arena </t>
  </si>
  <si>
    <t>*On hold pending CO signoff
*Tentative Date 4/21 install (EST+Ethan)</t>
  </si>
  <si>
    <t>Portland Sea Dogs</t>
  </si>
  <si>
    <t>*Closeout - compiled &amp; sent to PM for final review 5.6.25</t>
  </si>
  <si>
    <t>Ex-fac 2/20</t>
  </si>
  <si>
    <t>2/20?</t>
  </si>
  <si>
    <t xml:space="preserve">Tacoma Rainers </t>
  </si>
  <si>
    <t>Brooklyn Cyclones</t>
  </si>
  <si>
    <t>*Waiting Punchwalk with AJP + closeout</t>
  </si>
  <si>
    <t>*LED install complete - closeout docs</t>
  </si>
  <si>
    <t>Main Video Onsite: 2/8</t>
  </si>
  <si>
    <t>Oregon State</t>
  </si>
  <si>
    <t xml:space="preserve">Power Control </t>
  </si>
  <si>
    <t>Cavs Signage</t>
  </si>
  <si>
    <t>Daniel / Eric</t>
  </si>
  <si>
    <t xml:space="preserve">*Finals letters done this week?
</t>
  </si>
  <si>
    <t>US Squash</t>
  </si>
  <si>
    <t>New Tradition Children's Museum</t>
  </si>
  <si>
    <t>3/10?</t>
  </si>
  <si>
    <t>Capitol One Arena (Monumental, COAT)</t>
  </si>
  <si>
    <t>Arrived in Argyle</t>
  </si>
  <si>
    <t>Baltimore Ravens - Practice Facility TVs</t>
  </si>
  <si>
    <t>*TVs onsite.  Working through ceiling mount detials / drawings with WT</t>
  </si>
  <si>
    <t xml:space="preserve">LCD's onsite </t>
  </si>
  <si>
    <t xml:space="preserve">July </t>
  </si>
  <si>
    <t>UMASS Lowell - CMS</t>
  </si>
  <si>
    <t>*Kickoff required 5/2</t>
  </si>
  <si>
    <t>Detroit Tigers</t>
  </si>
  <si>
    <t>*LED onsite 9/22 - waiting shipping date for Lexan</t>
  </si>
  <si>
    <t>1604 Broadway</t>
  </si>
  <si>
    <t>Daniel / Jackson</t>
  </si>
  <si>
    <t>*Pixel Repairs</t>
  </si>
  <si>
    <t>2/15?</t>
  </si>
  <si>
    <t>New Tradition Chicago</t>
  </si>
  <si>
    <t>*Project on hold.</t>
  </si>
  <si>
    <t>At Lucent</t>
  </si>
  <si>
    <t>AAC</t>
  </si>
  <si>
    <t xml:space="preserve">*Final Pucnchist items complete and permits closed.
</t>
  </si>
  <si>
    <t>Scotia Bank Center (Maple Leafs) - PH2</t>
  </si>
  <si>
    <t xml:space="preserve">*punchlist complete </t>
  </si>
  <si>
    <t>Install ongoing</t>
  </si>
  <si>
    <t>Winston Salem</t>
  </si>
  <si>
    <t>*closeout sent</t>
  </si>
  <si>
    <t>Noblesville Grand Hall</t>
  </si>
  <si>
    <t>*closeout docs sent</t>
  </si>
  <si>
    <t>OBM LA NOW</t>
  </si>
  <si>
    <t>*Punch List Walk 4/25</t>
  </si>
  <si>
    <t>LED at Lucent's shop</t>
  </si>
  <si>
    <t>Noblesville CH</t>
  </si>
  <si>
    <t>*Pylon final outstanding item</t>
  </si>
  <si>
    <t>LED installed</t>
  </si>
  <si>
    <t>St Bonaventure</t>
  </si>
  <si>
    <t>*Stanchion Installation - 10/22</t>
  </si>
  <si>
    <t>Galvesten Cruise Terminal 16</t>
  </si>
  <si>
    <t xml:space="preserve">Jack  </t>
  </si>
  <si>
    <t>*closeout compiled and waiting on rack drawings - KGS</t>
  </si>
  <si>
    <t>LED onsite early July</t>
  </si>
  <si>
    <t>Capitol One Courtside</t>
  </si>
  <si>
    <t>Daniel / David T</t>
  </si>
  <si>
    <t>*Need to review with DT</t>
  </si>
  <si>
    <t>Alfond Arena OES and Ribbon</t>
  </si>
  <si>
    <t>closeout sent 11.26.25</t>
  </si>
  <si>
    <t>Fulton</t>
  </si>
  <si>
    <t xml:space="preserve">*closeout ready to be sent
</t>
  </si>
  <si>
    <t>Prudential Center Ribbons</t>
  </si>
  <si>
    <t>Fifth Third Ballpark</t>
  </si>
  <si>
    <t xml:space="preserve">Jesse  </t>
  </si>
  <si>
    <t>Golden Park (synones park)</t>
  </si>
  <si>
    <t>LED Onsite: 2/3</t>
  </si>
  <si>
    <t>Cavs Media Wall</t>
  </si>
  <si>
    <t>Aventura Mall</t>
  </si>
  <si>
    <t>*12/8/25 integration onsite</t>
  </si>
  <si>
    <t>Washington Commanders LED and LiveSync</t>
  </si>
  <si>
    <t xml:space="preserve">*closeout
</t>
  </si>
  <si>
    <t>Wells Fagro Center Billboard</t>
  </si>
  <si>
    <t>*closeout</t>
  </si>
  <si>
    <t xml:space="preserve">August </t>
  </si>
  <si>
    <t>LIVE NATION</t>
  </si>
  <si>
    <r>
      <t>LN Ph. 5-Jiffy Lube Live</t>
    </r>
    <r>
      <rPr>
        <sz val="11"/>
        <color rgb="FFFF0000"/>
        <rFont val="Calibri"/>
        <family val="2"/>
        <scheme val="minor"/>
      </rPr>
      <t xml:space="preserve"> - DC</t>
    </r>
  </si>
  <si>
    <t>Moving to Jiffy Lube Live</t>
  </si>
  <si>
    <r>
      <t>LN Ph. 5-PNC</t>
    </r>
    <r>
      <rPr>
        <sz val="11"/>
        <color rgb="FFFF0000"/>
        <rFont val="Calibri"/>
        <family val="2"/>
        <scheme val="minor"/>
      </rPr>
      <t xml:space="preserve"> - NJ</t>
    </r>
  </si>
  <si>
    <t>Moving venues</t>
  </si>
  <si>
    <t>N/A</t>
  </si>
  <si>
    <r>
      <t>LN Ph. 5-xFinity Theater Hartford</t>
    </r>
    <r>
      <rPr>
        <sz val="11"/>
        <color rgb="FFFF0000"/>
        <rFont val="Calibri"/>
        <family val="2"/>
        <scheme val="minor"/>
      </rPr>
      <t xml:space="preserve"> - Conn</t>
    </r>
  </si>
  <si>
    <t>Ted working on drawing updates</t>
  </si>
  <si>
    <t>One more permitting step, event 1 april 1.</t>
  </si>
  <si>
    <r>
      <t>Ak-Chin Roadside Marquee</t>
    </r>
    <r>
      <rPr>
        <sz val="11"/>
        <color rgb="FFFF0000"/>
        <rFont val="Calibri"/>
        <family val="2"/>
        <scheme val="minor"/>
      </rPr>
      <t xml:space="preserve"> - Phoenix</t>
    </r>
  </si>
  <si>
    <t xml:space="preserve">Supply only </t>
  </si>
  <si>
    <r>
      <t>Ak-Chin Pavillion Marquee (2021)</t>
    </r>
    <r>
      <rPr>
        <sz val="11"/>
        <color rgb="FFFF0000"/>
        <rFont val="Calibri"/>
        <family val="2"/>
        <scheme val="minor"/>
      </rPr>
      <t xml:space="preserve"> - Phoenix</t>
    </r>
  </si>
  <si>
    <t xml:space="preserve">Screen moving </t>
  </si>
  <si>
    <r>
      <t xml:space="preserve">Ithink - </t>
    </r>
    <r>
      <rPr>
        <sz val="11"/>
        <color rgb="FFFF0000"/>
        <rFont val="Calibri"/>
        <family val="2"/>
        <scheme val="minor"/>
      </rPr>
      <t>West Palm</t>
    </r>
  </si>
  <si>
    <t>No updates or dates - drawings complete.</t>
  </si>
  <si>
    <t>MISC</t>
  </si>
  <si>
    <t>Catalyst (supply only)</t>
  </si>
  <si>
    <t>Mt Laurel shipment first, Flemmington after - supply only</t>
  </si>
  <si>
    <t>Legacy Sports</t>
  </si>
  <si>
    <t xml:space="preserve">Client filed for bankrupcy </t>
  </si>
  <si>
    <t>Stage  ?</t>
  </si>
  <si>
    <t>Account Name</t>
  </si>
  <si>
    <t>Opportunity Name</t>
  </si>
  <si>
    <t>Award Date</t>
  </si>
  <si>
    <t>Estimated Start</t>
  </si>
  <si>
    <t>Estimated Completion</t>
  </si>
  <si>
    <t>Technology Vendor/Partner</t>
  </si>
  <si>
    <t>Substantial Completion Date</t>
  </si>
  <si>
    <t>Prospecting</t>
  </si>
  <si>
    <t>Camping World Stadium (Orlando)</t>
  </si>
  <si>
    <t>Camping World - 2026 LED Upgrade RFP</t>
  </si>
  <si>
    <t>LG Electronics</t>
  </si>
  <si>
    <t>Carolina Panthers</t>
  </si>
  <si>
    <t>Carolina Panthers - BofA Stadium Upgrades</t>
  </si>
  <si>
    <t>Moody Center</t>
  </si>
  <si>
    <t>Moody Center / OVG - New LED Wall Locations</t>
  </si>
  <si>
    <t>Rose Bowl</t>
  </si>
  <si>
    <t>Rose Bowl --South Endzone LED Renovation - AJP RFP</t>
  </si>
  <si>
    <t>Subtotal</t>
  </si>
  <si>
    <t>Sum</t>
  </si>
  <si>
    <t>Count</t>
  </si>
  <si>
    <t>Evaluating</t>
  </si>
  <si>
    <t>Baltimore Ravens | M&amp;T Bank Stadium</t>
  </si>
  <si>
    <t>Baltimore Ravens - 2026 LED Ribbon Board Replacement</t>
  </si>
  <si>
    <t>Baltimore Ravens - Ticket Windows on Russell Street - LED Upgrade</t>
  </si>
  <si>
    <t>Carolina Panthers - Practice Facility Upgrade</t>
  </si>
  <si>
    <t>Charlotte Hornets | Spectrum Center</t>
  </si>
  <si>
    <t>Charlotte Hornets - Spectrum Center Upgrades</t>
  </si>
  <si>
    <t>DC United (MLS) / Audi Field</t>
  </si>
  <si>
    <t>DC United - 2026 Audi Field Upgrade</t>
  </si>
  <si>
    <t>Monumental Sports &amp; Entertainment (MSE)</t>
  </si>
  <si>
    <t>COAT - Façade (DP6) Project</t>
  </si>
  <si>
    <t>Monumental Sports - Capital One Arena - Lexus Garage Display</t>
  </si>
  <si>
    <t>NBC Universal</t>
  </si>
  <si>
    <t>NBCU/30Rock - Today Show Plaza</t>
  </si>
  <si>
    <t>Portland Trail Blazers | Moda Center</t>
  </si>
  <si>
    <t>Portland Veterans Memorial Coliseum - AJP RFP</t>
  </si>
  <si>
    <t>Nitxeon</t>
  </si>
  <si>
    <t>Rutgers University</t>
  </si>
  <si>
    <t>Rutgers -- Endzone Ribbons</t>
  </si>
  <si>
    <t>Temple -- McGonigle and TSC LED Refresh</t>
  </si>
  <si>
    <t>University of Louisville</t>
  </si>
  <si>
    <t>Louisville - Swimming</t>
  </si>
  <si>
    <t>Louisville -- Volleyball LED Screen</t>
  </si>
  <si>
    <t>Washington Commanders (SOW #TBD) - 2026 Projects</t>
  </si>
  <si>
    <t>Negotiation</t>
  </si>
  <si>
    <t>OES Scoreboards</t>
  </si>
  <si>
    <t>Verbal Commitment</t>
  </si>
  <si>
    <t>2/1/206</t>
  </si>
  <si>
    <t>3/1/206</t>
  </si>
  <si>
    <t>Closed Won</t>
  </si>
  <si>
    <t>GoVision</t>
  </si>
  <si>
    <t>New Hires Requests</t>
  </si>
  <si>
    <t>Parts Requests</t>
  </si>
  <si>
    <t xml:space="preserve">Venue </t>
  </si>
  <si>
    <t>Integration Manager</t>
  </si>
  <si>
    <t>Integration Sub</t>
  </si>
  <si>
    <t>Jackson Hart</t>
  </si>
  <si>
    <t>Baker Audio</t>
  </si>
  <si>
    <t>JW Cooke</t>
  </si>
  <si>
    <t>RamComm</t>
  </si>
  <si>
    <t>ANC Commissioning</t>
  </si>
  <si>
    <t>Pro Media</t>
  </si>
  <si>
    <t>Logan</t>
  </si>
  <si>
    <t>Tony / Nova</t>
  </si>
  <si>
    <t xml:space="preserve">Ryan Sartell </t>
  </si>
  <si>
    <t>Baker Audio?</t>
  </si>
  <si>
    <t>ITI?</t>
  </si>
  <si>
    <t xml:space="preserve">Capitol One Arena </t>
  </si>
  <si>
    <t>7/5-7/10 and 8/2</t>
  </si>
  <si>
    <t>Eagles Marquees</t>
  </si>
  <si>
    <t xml:space="preserve">Hoping for LED Delivery prior to 6/22 </t>
  </si>
  <si>
    <t xml:space="preserve">Displays complete, electrical inspection outstanding through FIFA </t>
  </si>
  <si>
    <t>Done</t>
  </si>
  <si>
    <t>8/15 (2nd floor)</t>
  </si>
  <si>
    <t xml:space="preserve">Install 8/15, need to send to ITI for pricing. Atrium looking like October. </t>
  </si>
  <si>
    <t xml:space="preserve">Trapezoid display size continues to change, coordination ongoing with GC </t>
  </si>
  <si>
    <t xml:space="preserve">Reviewed closeout with Krissy, need to pay Tricore to finish a few things. Some seam adjustments also required. </t>
  </si>
  <si>
    <t xml:space="preserve">Install ongoing, Jeff onsite next week </t>
  </si>
  <si>
    <t>Awaiting GA 5/6 install pricing, have sent to Caleb, NST, EST. Concert venue now needs operational by 7/10</t>
  </si>
  <si>
    <t>8/1/2025 (except GA 5/6)</t>
  </si>
  <si>
    <t xml:space="preserve">Site Visit Monday, need to get LED ordered ASAP. </t>
  </si>
  <si>
    <t xml:space="preserve">Contract signed off, kickoff this week </t>
  </si>
  <si>
    <t xml:space="preserve">Livesync? </t>
  </si>
  <si>
    <t xml:space="preserve">LG </t>
  </si>
  <si>
    <t>N/A, at EST Shop</t>
  </si>
  <si>
    <t>currently at EST</t>
  </si>
  <si>
    <t>Client meeting 6/24</t>
  </si>
  <si>
    <t>Awaiting site visit to confirm install conditions, awaiting finalized contract</t>
  </si>
  <si>
    <t>Electrical and structural engineering in progress. Peno onsite 6/17</t>
  </si>
  <si>
    <t>En route</t>
  </si>
  <si>
    <t>LED submittal sent</t>
  </si>
  <si>
    <t>Fall 2026</t>
  </si>
  <si>
    <t>Commissioning Date</t>
  </si>
  <si>
    <t>1540 Broadway</t>
  </si>
  <si>
    <t>Kicked off onsite with client this week. Structural engineering in progress</t>
  </si>
  <si>
    <t>7/15 (scaffold/demo)</t>
  </si>
  <si>
    <t>9/30 (at risk)</t>
  </si>
  <si>
    <t>Scott Lewis</t>
  </si>
  <si>
    <t>NSN</t>
  </si>
  <si>
    <t xml:space="preserve">Electrical CO to be submitted to client </t>
  </si>
  <si>
    <t>Gomez working on contract, need kickoff</t>
  </si>
  <si>
    <t>Charlotte Hornets - OBM</t>
  </si>
  <si>
    <t>Charlotte Hornets - Voms</t>
  </si>
  <si>
    <t xml:space="preserve">Hobbs working on updating pricing </t>
  </si>
  <si>
    <t xml:space="preserve">rack build next week </t>
  </si>
  <si>
    <t>Jeff working on submittals</t>
  </si>
  <si>
    <t>Engineering in progress, need electrical info from client</t>
  </si>
  <si>
    <t xml:space="preserve">Kickoff tomorrow, LED ordered </t>
  </si>
  <si>
    <t xml:space="preserve">Submittal 6/8, expected formal release early July </t>
  </si>
  <si>
    <t>Cladding work outstanding once displays are live</t>
  </si>
  <si>
    <t>OBM - Market St San Jose</t>
  </si>
  <si>
    <t xml:space="preserve">Awaiting details </t>
  </si>
  <si>
    <t xml:space="preserve">Design build for 27/28 - field level display this year </t>
  </si>
  <si>
    <t xml:space="preserve">Coca Cola Coliseum </t>
  </si>
  <si>
    <t>Supply only to Atec - client needs update on product</t>
  </si>
  <si>
    <t>9/15 to Atec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</si>
</sst>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F800]dddd\,\ mmmm\ dd\,\ yyyy"/>
    <numFmt numFmtId="165" formatCode="_(&quot;$&quot;* #,##0_);_(&quot;$&quot;* \(#,##0\);_(&quot;$&quot;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 (Body)"/>
    </font>
    <font>
      <sz val="10"/>
      <color rgb="FF000000"/>
      <name val="Helvetica Neue"/>
      <family val="2"/>
    </font>
    <font>
      <sz val="12"/>
      <color theme="1"/>
      <name val="Helvetic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DBA7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211">
    <xf numFmtId="0" fontId="0" fillId="0" borderId="0" xfId="0"/>
    <xf numFmtId="0" fontId="1" fillId="0" borderId="0" xfId="0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  <xf numFmtId="0" fontId="0" fillId="3" borderId="0" xfId="0" applyFill="1"/>
    <xf numFmtId="0" fontId="1" fillId="0" borderId="1" xfId="0" applyFont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14" fontId="0" fillId="4" borderId="1" xfId="0" applyNumberFormat="1" applyFill="1" applyBorder="1"/>
    <xf numFmtId="14" fontId="0" fillId="4" borderId="1" xfId="0" applyNumberFormat="1" applyFill="1" applyBorder="1" applyAlignment="1">
      <alignment horizontal="left"/>
    </xf>
    <xf numFmtId="0" fontId="0" fillId="4" borderId="1" xfId="0" applyFill="1" applyBorder="1" applyAlignment="1">
      <alignment wrapText="1"/>
    </xf>
    <xf numFmtId="0" fontId="0" fillId="0" borderId="1" xfId="0" applyBorder="1"/>
    <xf numFmtId="14" fontId="1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left" wrapText="1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3" borderId="1" xfId="0" applyFill="1" applyBorder="1"/>
    <xf numFmtId="14" fontId="0" fillId="0" borderId="1" xfId="0" applyNumberFormat="1" applyBorder="1"/>
    <xf numFmtId="14" fontId="0" fillId="4" borderId="1" xfId="0" applyNumberFormat="1" applyFill="1" applyBorder="1" applyAlignment="1">
      <alignment horizontal="right"/>
    </xf>
    <xf numFmtId="14" fontId="0" fillId="0" borderId="1" xfId="0" applyNumberFormat="1" applyBorder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5" xfId="0" applyBorder="1"/>
    <xf numFmtId="0" fontId="0" fillId="0" borderId="1" xfId="0" applyBorder="1" applyAlignment="1">
      <alignment horizontal="left" vertical="top"/>
    </xf>
    <xf numFmtId="17" fontId="0" fillId="0" borderId="0" xfId="0" applyNumberFormat="1"/>
    <xf numFmtId="0" fontId="0" fillId="4" borderId="1" xfId="0" applyFill="1" applyBorder="1" applyAlignment="1">
      <alignment horizontal="left" wrapText="1"/>
    </xf>
    <xf numFmtId="0" fontId="0" fillId="4" borderId="0" xfId="0" applyFill="1"/>
    <xf numFmtId="0" fontId="1" fillId="4" borderId="0" xfId="0" applyFont="1" applyFill="1"/>
    <xf numFmtId="0" fontId="0" fillId="4" borderId="6" xfId="0" applyFill="1" applyBorder="1"/>
    <xf numFmtId="14" fontId="0" fillId="4" borderId="0" xfId="0" applyNumberFormat="1" applyFill="1"/>
    <xf numFmtId="0" fontId="0" fillId="9" borderId="0" xfId="0" applyFill="1"/>
    <xf numFmtId="0" fontId="1" fillId="4" borderId="1" xfId="0" applyFont="1" applyFill="1" applyBorder="1"/>
    <xf numFmtId="0" fontId="4" fillId="0" borderId="1" xfId="0" applyFont="1" applyBorder="1"/>
    <xf numFmtId="0" fontId="1" fillId="4" borderId="1" xfId="0" applyFont="1" applyFill="1" applyBorder="1" applyAlignment="1">
      <alignment wrapText="1"/>
    </xf>
    <xf numFmtId="0" fontId="1" fillId="10" borderId="0" xfId="0" applyFont="1" applyFill="1"/>
    <xf numFmtId="14" fontId="0" fillId="11" borderId="1" xfId="0" applyNumberFormat="1" applyFill="1" applyBorder="1"/>
    <xf numFmtId="0" fontId="0" fillId="11" borderId="1" xfId="0" applyFill="1" applyBorder="1"/>
    <xf numFmtId="0" fontId="0" fillId="11" borderId="1" xfId="0" applyFill="1" applyBorder="1" applyAlignment="1">
      <alignment horizontal="left"/>
    </xf>
    <xf numFmtId="16" fontId="0" fillId="4" borderId="1" xfId="0" applyNumberFormat="1" applyFill="1" applyBorder="1"/>
    <xf numFmtId="14" fontId="0" fillId="4" borderId="1" xfId="0" applyNumberFormat="1" applyFill="1" applyBorder="1" applyAlignment="1">
      <alignment wrapText="1"/>
    </xf>
    <xf numFmtId="0" fontId="3" fillId="0" borderId="1" xfId="0" applyFont="1" applyBorder="1"/>
    <xf numFmtId="14" fontId="0" fillId="12" borderId="1" xfId="0" applyNumberFormat="1" applyFill="1" applyBorder="1" applyAlignment="1">
      <alignment horizontal="right"/>
    </xf>
    <xf numFmtId="0" fontId="0" fillId="4" borderId="4" xfId="0" applyFill="1" applyBorder="1"/>
    <xf numFmtId="0" fontId="4" fillId="13" borderId="1" xfId="0" applyFont="1" applyFill="1" applyBorder="1"/>
    <xf numFmtId="0" fontId="4" fillId="13" borderId="8" xfId="0" applyFont="1" applyFill="1" applyBorder="1" applyAlignment="1">
      <alignment horizontal="left" wrapText="1"/>
    </xf>
    <xf numFmtId="0" fontId="4" fillId="0" borderId="8" xfId="0" applyFont="1" applyBorder="1" applyAlignment="1">
      <alignment wrapText="1"/>
    </xf>
    <xf numFmtId="14" fontId="4" fillId="13" borderId="8" xfId="0" applyNumberFormat="1" applyFont="1" applyFill="1" applyBorder="1" applyAlignment="1">
      <alignment horizontal="right"/>
    </xf>
    <xf numFmtId="14" fontId="4" fillId="14" borderId="8" xfId="0" applyNumberFormat="1" applyFont="1" applyFill="1" applyBorder="1" applyAlignment="1">
      <alignment horizontal="right"/>
    </xf>
    <xf numFmtId="0" fontId="4" fillId="13" borderId="8" xfId="0" applyFont="1" applyFill="1" applyBorder="1"/>
    <xf numFmtId="0" fontId="4" fillId="0" borderId="8" xfId="0" applyFont="1" applyBorder="1"/>
    <xf numFmtId="0" fontId="4" fillId="13" borderId="0" xfId="0" applyFont="1" applyFill="1"/>
    <xf numFmtId="164" fontId="0" fillId="0" borderId="1" xfId="0" applyNumberFormat="1" applyBorder="1"/>
    <xf numFmtId="164" fontId="0" fillId="4" borderId="1" xfId="0" applyNumberFormat="1" applyFill="1" applyBorder="1"/>
    <xf numFmtId="164" fontId="0" fillId="0" borderId="1" xfId="0" applyNumberFormat="1" applyBorder="1" applyAlignment="1">
      <alignment wrapText="1"/>
    </xf>
    <xf numFmtId="164" fontId="0" fillId="4" borderId="1" xfId="0" applyNumberFormat="1" applyFill="1" applyBorder="1" applyAlignment="1">
      <alignment horizontal="left"/>
    </xf>
    <xf numFmtId="164" fontId="0" fillId="0" borderId="0" xfId="0" applyNumberFormat="1"/>
    <xf numFmtId="0" fontId="0" fillId="2" borderId="1" xfId="0" applyFill="1" applyBorder="1"/>
    <xf numFmtId="0" fontId="0" fillId="4" borderId="1" xfId="0" applyFill="1" applyBorder="1" applyAlignment="1">
      <alignment horizontal="center" wrapText="1"/>
    </xf>
    <xf numFmtId="0" fontId="0" fillId="0" borderId="4" xfId="0" applyBorder="1" applyAlignment="1">
      <alignment wrapText="1"/>
    </xf>
    <xf numFmtId="164" fontId="0" fillId="4" borderId="1" xfId="0" applyNumberFormat="1" applyFill="1" applyBorder="1" applyAlignment="1">
      <alignment wrapText="1"/>
    </xf>
    <xf numFmtId="14" fontId="0" fillId="4" borderId="8" xfId="0" applyNumberFormat="1" applyFill="1" applyBorder="1" applyAlignment="1">
      <alignment horizontal="right"/>
    </xf>
    <xf numFmtId="14" fontId="0" fillId="0" borderId="1" xfId="0" applyNumberFormat="1" applyBorder="1" applyAlignment="1">
      <alignment horizontal="center" wrapText="1"/>
    </xf>
    <xf numFmtId="0" fontId="3" fillId="4" borderId="5" xfId="0" applyFont="1" applyFill="1" applyBorder="1"/>
    <xf numFmtId="0" fontId="0" fillId="4" borderId="4" xfId="0" applyFill="1" applyBorder="1" applyAlignment="1">
      <alignment wrapText="1"/>
    </xf>
    <xf numFmtId="0" fontId="0" fillId="0" borderId="0" xfId="0" applyAlignment="1">
      <alignment wrapText="1"/>
    </xf>
    <xf numFmtId="0" fontId="6" fillId="0" borderId="0" xfId="0" applyFont="1"/>
    <xf numFmtId="0" fontId="7" fillId="0" borderId="0" xfId="0" applyFont="1"/>
    <xf numFmtId="14" fontId="6" fillId="0" borderId="0" xfId="0" applyNumberFormat="1" applyFont="1"/>
    <xf numFmtId="14" fontId="3" fillId="4" borderId="5" xfId="0" applyNumberFormat="1" applyFont="1" applyFill="1" applyBorder="1"/>
    <xf numFmtId="165" fontId="0" fillId="4" borderId="1" xfId="1" applyNumberFormat="1" applyFont="1" applyFill="1" applyBorder="1"/>
    <xf numFmtId="165" fontId="0" fillId="4" borderId="1" xfId="1" applyNumberFormat="1" applyFont="1" applyFill="1" applyBorder="1" applyAlignment="1">
      <alignment horizontal="center"/>
    </xf>
    <xf numFmtId="165" fontId="0" fillId="0" borderId="1" xfId="1" applyNumberFormat="1" applyFont="1" applyBorder="1"/>
    <xf numFmtId="165" fontId="0" fillId="0" borderId="1" xfId="1" applyNumberFormat="1" applyFont="1" applyBorder="1" applyAlignment="1">
      <alignment horizontal="center"/>
    </xf>
    <xf numFmtId="165" fontId="3" fillId="4" borderId="5" xfId="0" applyNumberFormat="1" applyFont="1" applyFill="1" applyBorder="1"/>
    <xf numFmtId="165" fontId="3" fillId="4" borderId="5" xfId="0" applyNumberFormat="1" applyFont="1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165" fontId="3" fillId="4" borderId="5" xfId="1" applyNumberFormat="1" applyFont="1" applyFill="1" applyBorder="1" applyAlignment="1">
      <alignment horizontal="center"/>
    </xf>
    <xf numFmtId="165" fontId="0" fillId="4" borderId="5" xfId="1" applyNumberFormat="1" applyFont="1" applyFill="1" applyBorder="1" applyAlignment="1">
      <alignment horizontal="center"/>
    </xf>
    <xf numFmtId="165" fontId="0" fillId="0" borderId="5" xfId="1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/>
    <xf numFmtId="165" fontId="0" fillId="0" borderId="0" xfId="0" applyNumberFormat="1"/>
    <xf numFmtId="0" fontId="0" fillId="8" borderId="4" xfId="0" applyFill="1" applyBorder="1"/>
    <xf numFmtId="0" fontId="0" fillId="8" borderId="9" xfId="0" applyFill="1" applyBorder="1"/>
    <xf numFmtId="0" fontId="0" fillId="8" borderId="0" xfId="0" applyFill="1"/>
    <xf numFmtId="0" fontId="0" fillId="8" borderId="10" xfId="0" applyFill="1" applyBorder="1"/>
    <xf numFmtId="165" fontId="0" fillId="4" borderId="5" xfId="0" applyNumberFormat="1" applyFill="1" applyBorder="1"/>
    <xf numFmtId="165" fontId="0" fillId="4" borderId="5" xfId="0" applyNumberFormat="1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0" fontId="0" fillId="15" borderId="7" xfId="0" applyFill="1" applyBorder="1" applyAlignment="1">
      <alignment horizontal="center"/>
    </xf>
    <xf numFmtId="0" fontId="0" fillId="15" borderId="8" xfId="0" applyFill="1" applyBorder="1" applyAlignment="1">
      <alignment horizontal="center"/>
    </xf>
    <xf numFmtId="0" fontId="0" fillId="4" borderId="8" xfId="0" applyFill="1" applyBorder="1"/>
    <xf numFmtId="165" fontId="4" fillId="13" borderId="12" xfId="0" applyNumberFormat="1" applyFont="1" applyFill="1" applyBorder="1" applyAlignment="1">
      <alignment horizontal="right"/>
    </xf>
    <xf numFmtId="165" fontId="4" fillId="13" borderId="1" xfId="0" applyNumberFormat="1" applyFont="1" applyFill="1" applyBorder="1" applyAlignment="1">
      <alignment horizontal="right"/>
    </xf>
    <xf numFmtId="0" fontId="0" fillId="4" borderId="5" xfId="0" applyFill="1" applyBorder="1"/>
    <xf numFmtId="14" fontId="0" fillId="4" borderId="5" xfId="0" applyNumberFormat="1" applyFill="1" applyBorder="1"/>
    <xf numFmtId="165" fontId="0" fillId="4" borderId="1" xfId="0" applyNumberFormat="1" applyFill="1" applyBorder="1"/>
    <xf numFmtId="165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5" fontId="0" fillId="0" borderId="1" xfId="0" applyNumberFormat="1" applyBorder="1"/>
    <xf numFmtId="165" fontId="0" fillId="0" borderId="1" xfId="0" applyNumberFormat="1" applyBorder="1" applyAlignment="1">
      <alignment horizontal="center"/>
    </xf>
    <xf numFmtId="0" fontId="0" fillId="4" borderId="8" xfId="0" applyFill="1" applyBorder="1" applyAlignment="1">
      <alignment horizontal="center"/>
    </xf>
    <xf numFmtId="165" fontId="0" fillId="0" borderId="5" xfId="0" applyNumberFormat="1" applyBorder="1"/>
    <xf numFmtId="165" fontId="0" fillId="0" borderId="5" xfId="0" applyNumberFormat="1" applyBorder="1" applyAlignment="1">
      <alignment horizontal="center"/>
    </xf>
    <xf numFmtId="0" fontId="0" fillId="16" borderId="0" xfId="0" applyFill="1"/>
    <xf numFmtId="14" fontId="0" fillId="16" borderId="0" xfId="0" applyNumberFormat="1" applyFill="1"/>
    <xf numFmtId="0" fontId="0" fillId="16" borderId="5" xfId="0" applyFill="1" applyBorder="1"/>
    <xf numFmtId="0" fontId="0" fillId="16" borderId="7" xfId="0" applyFill="1" applyBorder="1"/>
    <xf numFmtId="0" fontId="0" fillId="16" borderId="7" xfId="0" applyFill="1" applyBorder="1" applyAlignment="1">
      <alignment horizontal="center"/>
    </xf>
    <xf numFmtId="0" fontId="0" fillId="16" borderId="8" xfId="0" applyFill="1" applyBorder="1" applyAlignment="1">
      <alignment horizontal="center"/>
    </xf>
    <xf numFmtId="0" fontId="0" fillId="16" borderId="1" xfId="0" applyFill="1" applyBorder="1"/>
    <xf numFmtId="0" fontId="0" fillId="16" borderId="8" xfId="0" applyFill="1" applyBorder="1"/>
    <xf numFmtId="165" fontId="4" fillId="13" borderId="11" xfId="0" applyNumberFormat="1" applyFont="1" applyFill="1" applyBorder="1" applyAlignment="1">
      <alignment horizontal="right"/>
    </xf>
    <xf numFmtId="0" fontId="0" fillId="4" borderId="7" xfId="0" applyFill="1" applyBorder="1"/>
    <xf numFmtId="165" fontId="1" fillId="16" borderId="0" xfId="0" applyNumberFormat="1" applyFont="1" applyFill="1"/>
    <xf numFmtId="165" fontId="4" fillId="0" borderId="1" xfId="0" applyNumberFormat="1" applyFont="1" applyBorder="1"/>
    <xf numFmtId="165" fontId="4" fillId="0" borderId="1" xfId="0" applyNumberFormat="1" applyFont="1" applyBorder="1" applyAlignment="1">
      <alignment horizontal="center"/>
    </xf>
    <xf numFmtId="165" fontId="4" fillId="0" borderId="1" xfId="1" applyNumberFormat="1" applyFont="1" applyBorder="1" applyAlignment="1">
      <alignment horizontal="center"/>
    </xf>
    <xf numFmtId="14" fontId="4" fillId="0" borderId="1" xfId="0" applyNumberFormat="1" applyFont="1" applyBorder="1"/>
    <xf numFmtId="0" fontId="4" fillId="4" borderId="1" xfId="0" applyFont="1" applyFill="1" applyBorder="1"/>
    <xf numFmtId="165" fontId="4" fillId="4" borderId="1" xfId="0" applyNumberFormat="1" applyFont="1" applyFill="1" applyBorder="1"/>
    <xf numFmtId="165" fontId="4" fillId="4" borderId="1" xfId="0" applyNumberFormat="1" applyFont="1" applyFill="1" applyBorder="1" applyAlignment="1">
      <alignment horizontal="center"/>
    </xf>
    <xf numFmtId="165" fontId="4" fillId="4" borderId="1" xfId="1" applyNumberFormat="1" applyFont="1" applyFill="1" applyBorder="1" applyAlignment="1">
      <alignment horizontal="center"/>
    </xf>
    <xf numFmtId="14" fontId="4" fillId="4" borderId="1" xfId="0" applyNumberFormat="1" applyFont="1" applyFill="1" applyBorder="1"/>
    <xf numFmtId="0" fontId="4" fillId="16" borderId="1" xfId="0" applyFont="1" applyFill="1" applyBorder="1"/>
    <xf numFmtId="165" fontId="9" fillId="16" borderId="5" xfId="0" applyNumberFormat="1" applyFont="1" applyFill="1" applyBorder="1" applyAlignment="1">
      <alignment horizontal="center"/>
    </xf>
    <xf numFmtId="0" fontId="4" fillId="16" borderId="5" xfId="0" applyFont="1" applyFill="1" applyBorder="1"/>
    <xf numFmtId="14" fontId="4" fillId="16" borderId="5" xfId="0" applyNumberFormat="1" applyFont="1" applyFill="1" applyBorder="1"/>
    <xf numFmtId="14" fontId="4" fillId="0" borderId="5" xfId="0" applyNumberFormat="1" applyFont="1" applyBorder="1"/>
    <xf numFmtId="165" fontId="4" fillId="0" borderId="1" xfId="1" applyNumberFormat="1" applyFont="1" applyBorder="1"/>
    <xf numFmtId="14" fontId="4" fillId="0" borderId="7" xfId="0" applyNumberFormat="1" applyFont="1" applyBorder="1"/>
    <xf numFmtId="0" fontId="4" fillId="2" borderId="1" xfId="0" applyFont="1" applyFill="1" applyBorder="1"/>
    <xf numFmtId="165" fontId="4" fillId="2" borderId="1" xfId="0" applyNumberFormat="1" applyFont="1" applyFill="1" applyBorder="1"/>
    <xf numFmtId="165" fontId="4" fillId="2" borderId="1" xfId="0" applyNumberFormat="1" applyFont="1" applyFill="1" applyBorder="1" applyAlignment="1">
      <alignment horizontal="center"/>
    </xf>
    <xf numFmtId="165" fontId="4" fillId="2" borderId="1" xfId="1" applyNumberFormat="1" applyFont="1" applyFill="1" applyBorder="1" applyAlignment="1">
      <alignment horizontal="center"/>
    </xf>
    <xf numFmtId="14" fontId="4" fillId="2" borderId="1" xfId="0" applyNumberFormat="1" applyFont="1" applyFill="1" applyBorder="1"/>
    <xf numFmtId="165" fontId="3" fillId="2" borderId="5" xfId="1" applyNumberFormat="1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0" fillId="15" borderId="7" xfId="0" applyFill="1" applyBorder="1"/>
    <xf numFmtId="0" fontId="0" fillId="0" borderId="7" xfId="0" applyBorder="1"/>
    <xf numFmtId="0" fontId="0" fillId="0" borderId="8" xfId="0" applyBorder="1"/>
    <xf numFmtId="0" fontId="0" fillId="3" borderId="5" xfId="0" applyFill="1" applyBorder="1"/>
    <xf numFmtId="0" fontId="3" fillId="3" borderId="5" xfId="0" applyFont="1" applyFill="1" applyBorder="1"/>
    <xf numFmtId="0" fontId="4" fillId="3" borderId="1" xfId="0" applyFont="1" applyFill="1" applyBorder="1"/>
    <xf numFmtId="0" fontId="4" fillId="0" borderId="0" xfId="0" applyFont="1"/>
    <xf numFmtId="14" fontId="0" fillId="0" borderId="8" xfId="0" applyNumberFormat="1" applyBorder="1" applyAlignment="1">
      <alignment horizontal="right"/>
    </xf>
    <xf numFmtId="0" fontId="4" fillId="18" borderId="1" xfId="0" applyFont="1" applyFill="1" applyBorder="1"/>
    <xf numFmtId="0" fontId="0" fillId="19" borderId="1" xfId="0" applyFill="1" applyBorder="1"/>
    <xf numFmtId="0" fontId="0" fillId="19" borderId="1" xfId="0" applyFill="1" applyBorder="1" applyAlignment="1">
      <alignment wrapText="1"/>
    </xf>
    <xf numFmtId="14" fontId="0" fillId="19" borderId="1" xfId="0" applyNumberFormat="1" applyFill="1" applyBorder="1" applyAlignment="1">
      <alignment horizontal="right"/>
    </xf>
    <xf numFmtId="14" fontId="0" fillId="19" borderId="1" xfId="0" applyNumberFormat="1" applyFill="1" applyBorder="1"/>
    <xf numFmtId="0" fontId="4" fillId="19" borderId="1" xfId="0" applyFont="1" applyFill="1" applyBorder="1"/>
    <xf numFmtId="0" fontId="0" fillId="19" borderId="0" xfId="0" applyFill="1"/>
    <xf numFmtId="14" fontId="0" fillId="19" borderId="8" xfId="0" applyNumberFormat="1" applyFill="1" applyBorder="1" applyAlignment="1">
      <alignment horizontal="right"/>
    </xf>
    <xf numFmtId="0" fontId="4" fillId="20" borderId="1" xfId="0" applyFont="1" applyFill="1" applyBorder="1"/>
    <xf numFmtId="14" fontId="4" fillId="19" borderId="1" xfId="0" applyNumberFormat="1" applyFont="1" applyFill="1" applyBorder="1"/>
    <xf numFmtId="0" fontId="0" fillId="2" borderId="1" xfId="0" applyFill="1" applyBorder="1" applyAlignment="1">
      <alignment wrapText="1"/>
    </xf>
    <xf numFmtId="0" fontId="0" fillId="21" borderId="0" xfId="0" applyFill="1"/>
    <xf numFmtId="0" fontId="1" fillId="0" borderId="1" xfId="0" applyFont="1" applyBorder="1" applyAlignment="1">
      <alignment horizontal="center"/>
    </xf>
    <xf numFmtId="0" fontId="4" fillId="19" borderId="1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4" fontId="0" fillId="4" borderId="1" xfId="0" applyNumberFormat="1" applyFill="1" applyBorder="1" applyAlignment="1">
      <alignment horizontal="right" wrapText="1"/>
    </xf>
    <xf numFmtId="16" fontId="0" fillId="4" borderId="1" xfId="0" applyNumberFormat="1" applyFill="1" applyBorder="1" applyAlignment="1">
      <alignment horizontal="center"/>
    </xf>
    <xf numFmtId="0" fontId="4" fillId="19" borderId="1" xfId="0" applyFont="1" applyFill="1" applyBorder="1" applyAlignment="1">
      <alignment wrapText="1"/>
    </xf>
    <xf numFmtId="14" fontId="0" fillId="19" borderId="1" xfId="0" applyNumberFormat="1" applyFill="1" applyBorder="1" applyAlignment="1">
      <alignment horizontal="right" wrapText="1"/>
    </xf>
    <xf numFmtId="16" fontId="0" fillId="19" borderId="1" xfId="0" applyNumberFormat="1" applyFill="1" applyBorder="1"/>
    <xf numFmtId="14" fontId="0" fillId="19" borderId="1" xfId="0" applyNumberFormat="1" applyFill="1" applyBorder="1" applyAlignment="1">
      <alignment horizontal="center"/>
    </xf>
    <xf numFmtId="16" fontId="0" fillId="19" borderId="1" xfId="0" applyNumberFormat="1" applyFill="1" applyBorder="1" applyAlignment="1">
      <alignment horizontal="center"/>
    </xf>
    <xf numFmtId="14" fontId="4" fillId="19" borderId="1" xfId="0" applyNumberFormat="1" applyFont="1" applyFill="1" applyBorder="1" applyAlignment="1">
      <alignment horizontal="center"/>
    </xf>
    <xf numFmtId="14" fontId="4" fillId="4" borderId="1" xfId="0" applyNumberFormat="1" applyFont="1" applyFill="1" applyBorder="1" applyAlignment="1">
      <alignment horizontal="center"/>
    </xf>
    <xf numFmtId="0" fontId="1" fillId="9" borderId="13" xfId="0" applyFont="1" applyFill="1" applyBorder="1"/>
    <xf numFmtId="0" fontId="0" fillId="9" borderId="13" xfId="0" applyFill="1" applyBorder="1"/>
    <xf numFmtId="14" fontId="0" fillId="9" borderId="13" xfId="0" applyNumberFormat="1" applyFill="1" applyBorder="1" applyAlignment="1">
      <alignment horizontal="right"/>
    </xf>
    <xf numFmtId="0" fontId="4" fillId="19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0" fillId="20" borderId="1" xfId="0" applyFill="1" applyBorder="1"/>
    <xf numFmtId="0" fontId="0" fillId="13" borderId="1" xfId="0" applyFill="1" applyBorder="1"/>
    <xf numFmtId="0" fontId="0" fillId="4" borderId="13" xfId="0" applyFill="1" applyBorder="1"/>
    <xf numFmtId="0" fontId="4" fillId="18" borderId="13" xfId="0" applyFont="1" applyFill="1" applyBorder="1"/>
    <xf numFmtId="0" fontId="0" fillId="4" borderId="13" xfId="0" applyFill="1" applyBorder="1" applyAlignment="1">
      <alignment wrapText="1"/>
    </xf>
    <xf numFmtId="14" fontId="0" fillId="4" borderId="13" xfId="0" applyNumberFormat="1" applyFill="1" applyBorder="1" applyAlignment="1">
      <alignment horizontal="right" wrapText="1"/>
    </xf>
    <xf numFmtId="14" fontId="0" fillId="4" borderId="13" xfId="0" applyNumberFormat="1" applyFill="1" applyBorder="1" applyAlignment="1">
      <alignment horizontal="right"/>
    </xf>
    <xf numFmtId="16" fontId="0" fillId="4" borderId="0" xfId="0" applyNumberFormat="1" applyFill="1"/>
    <xf numFmtId="16" fontId="0" fillId="4" borderId="0" xfId="0" applyNumberFormat="1" applyFill="1" applyAlignment="1">
      <alignment horizontal="center"/>
    </xf>
    <xf numFmtId="14" fontId="4" fillId="4" borderId="0" xfId="0" applyNumberFormat="1" applyFont="1" applyFill="1" applyAlignment="1">
      <alignment horizontal="center"/>
    </xf>
    <xf numFmtId="0" fontId="0" fillId="15" borderId="5" xfId="0" applyFill="1" applyBorder="1" applyAlignment="1">
      <alignment horizontal="center"/>
    </xf>
    <xf numFmtId="0" fontId="0" fillId="15" borderId="7" xfId="0" applyFill="1" applyBorder="1" applyAlignment="1">
      <alignment horizontal="center"/>
    </xf>
    <xf numFmtId="0" fontId="0" fillId="15" borderId="8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0" borderId="3" xfId="0" applyBorder="1"/>
    <xf numFmtId="0" fontId="0" fillId="17" borderId="5" xfId="0" applyFill="1" applyBorder="1" applyAlignment="1">
      <alignment horizontal="center"/>
    </xf>
    <xf numFmtId="0" fontId="0" fillId="17" borderId="7" xfId="0" applyFill="1" applyBorder="1" applyAlignment="1">
      <alignment horizontal="center"/>
    </xf>
    <xf numFmtId="0" fontId="0" fillId="17" borderId="8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66FF"/>
      <color rgb="FFFF5050"/>
      <color rgb="FFFF9933"/>
      <color rgb="FFF2B8AC"/>
      <color rgb="FF9900FF"/>
      <color rgb="FFDBA7FF"/>
      <color rgb="FFFF33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4E93-464A-48AA-9C93-4EF296F63F3B}">
  <dimension ref="A1:GF64"/>
  <sheetViews>
    <sheetView zoomScale="115" zoomScaleNormal="115" workbookViewId="0">
      <pane xSplit="1" topLeftCell="B1" activePane="topRight" state="frozen"/>
      <selection pane="topRight" activeCell="C19" sqref="C19"/>
    </sheetView>
  </sheetViews>
  <sheetFormatPr baseColWidth="10" defaultColWidth="8.83203125" defaultRowHeight="15" x14ac:dyDescent="0.2"/>
  <cols>
    <col min="1" max="1" width="33.1640625" customWidth="1"/>
    <col min="2" max="2" width="21.33203125" customWidth="1"/>
    <col min="3" max="3" width="69.33203125" customWidth="1"/>
    <col min="4" max="4" width="20" style="21" bestFit="1" customWidth="1"/>
    <col min="5" max="5" width="23.1640625" style="21" customWidth="1"/>
    <col min="6" max="6" width="18.33203125" style="26" bestFit="1" customWidth="1"/>
    <col min="7" max="7" width="14" style="26" bestFit="1" customWidth="1"/>
    <col min="8" max="8" width="13.83203125" style="26" bestFit="1" customWidth="1"/>
    <col min="9" max="9" width="14.33203125" style="26" bestFit="1" customWidth="1"/>
    <col min="10" max="10" width="25.83203125" style="164" customWidth="1"/>
    <col min="11" max="11" width="18.1640625" style="164" bestFit="1" customWidth="1"/>
    <col min="12" max="12" width="18.1640625" style="164" customWidth="1"/>
    <col min="13" max="13" width="16.5" style="26" bestFit="1" customWidth="1"/>
    <col min="14" max="14" width="18.1640625" style="26" customWidth="1"/>
    <col min="15" max="15" width="16.6640625" style="26" bestFit="1" customWidth="1"/>
    <col min="16" max="16" width="16" style="26" bestFit="1" customWidth="1"/>
    <col min="17" max="17" width="10" style="26" bestFit="1" customWidth="1"/>
    <col min="18" max="18" width="11.33203125" style="26" bestFit="1" customWidth="1"/>
    <col min="19" max="188" width="8.83203125" style="26"/>
  </cols>
  <sheetData>
    <row r="1" spans="1:18" x14ac:dyDescent="0.2">
      <c r="A1" s="5" t="s">
        <v>0</v>
      </c>
      <c r="B1" s="5" t="s">
        <v>1</v>
      </c>
      <c r="C1" s="5" t="s">
        <v>2</v>
      </c>
      <c r="D1" s="12" t="s">
        <v>3</v>
      </c>
      <c r="E1" s="12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159" t="s">
        <v>9</v>
      </c>
      <c r="K1" s="159" t="s">
        <v>707</v>
      </c>
      <c r="L1" s="159" t="s">
        <v>708</v>
      </c>
      <c r="M1" s="5" t="s">
        <v>745</v>
      </c>
      <c r="N1" s="5" t="s">
        <v>713</v>
      </c>
      <c r="O1" s="31" t="s">
        <v>10</v>
      </c>
      <c r="P1" s="31" t="s">
        <v>11</v>
      </c>
      <c r="Q1" s="31" t="s">
        <v>12</v>
      </c>
      <c r="R1" s="31" t="s">
        <v>13</v>
      </c>
    </row>
    <row r="2" spans="1:18" s="153" customFormat="1" ht="48" x14ac:dyDescent="0.2">
      <c r="A2" s="148" t="s">
        <v>14</v>
      </c>
      <c r="B2" s="148" t="s">
        <v>37</v>
      </c>
      <c r="C2" s="149" t="s">
        <v>731</v>
      </c>
      <c r="D2" s="150" t="s">
        <v>16</v>
      </c>
      <c r="E2" s="150" t="s">
        <v>732</v>
      </c>
      <c r="F2" s="151" t="s">
        <v>17</v>
      </c>
      <c r="G2" s="152" t="s">
        <v>18</v>
      </c>
      <c r="H2" s="150" t="s">
        <v>742</v>
      </c>
      <c r="I2" s="152"/>
      <c r="J2" s="171" t="s">
        <v>19</v>
      </c>
      <c r="K2" s="181" t="s">
        <v>709</v>
      </c>
      <c r="L2" s="171"/>
      <c r="M2" s="176" t="s">
        <v>721</v>
      </c>
      <c r="N2" s="176" t="s">
        <v>716</v>
      </c>
      <c r="O2" s="148" t="s">
        <v>20</v>
      </c>
      <c r="P2" s="148" t="s">
        <v>21</v>
      </c>
      <c r="Q2" s="148" t="s">
        <v>22</v>
      </c>
      <c r="R2" s="148" t="s">
        <v>23</v>
      </c>
    </row>
    <row r="3" spans="1:18" ht="16" x14ac:dyDescent="0.2">
      <c r="A3" s="6" t="s">
        <v>24</v>
      </c>
      <c r="B3" s="6" t="s">
        <v>25</v>
      </c>
      <c r="C3" s="10" t="s">
        <v>730</v>
      </c>
      <c r="D3" s="19">
        <v>46174</v>
      </c>
      <c r="E3" s="19">
        <v>46192</v>
      </c>
      <c r="F3" s="6" t="s">
        <v>26</v>
      </c>
      <c r="G3" s="6" t="s">
        <v>27</v>
      </c>
      <c r="H3" s="6" t="s">
        <v>28</v>
      </c>
      <c r="I3" s="6" t="s">
        <v>29</v>
      </c>
      <c r="J3" s="98"/>
      <c r="K3" s="98" t="s">
        <v>709</v>
      </c>
      <c r="L3" s="98"/>
      <c r="M3" s="177"/>
      <c r="N3" s="177"/>
      <c r="O3" s="6" t="s">
        <v>20</v>
      </c>
      <c r="P3" s="6" t="s">
        <v>21</v>
      </c>
      <c r="Q3" s="6" t="s">
        <v>30</v>
      </c>
      <c r="R3" s="6" t="s">
        <v>31</v>
      </c>
    </row>
    <row r="4" spans="1:18" s="153" customFormat="1" ht="32" x14ac:dyDescent="0.2">
      <c r="A4" s="148" t="s">
        <v>32</v>
      </c>
      <c r="B4" s="148" t="s">
        <v>33</v>
      </c>
      <c r="C4" s="149" t="s">
        <v>729</v>
      </c>
      <c r="D4" s="150" t="s">
        <v>34</v>
      </c>
      <c r="E4" s="150" t="s">
        <v>34</v>
      </c>
      <c r="F4" s="148" t="s">
        <v>35</v>
      </c>
      <c r="G4" s="148" t="s">
        <v>27</v>
      </c>
      <c r="H4" s="148"/>
      <c r="I4" s="148" t="s">
        <v>29</v>
      </c>
      <c r="J4" s="161"/>
      <c r="K4" s="176" t="s">
        <v>709</v>
      </c>
      <c r="L4" s="161"/>
      <c r="M4" s="176"/>
      <c r="N4" s="176"/>
      <c r="O4" s="148"/>
      <c r="P4" s="148"/>
      <c r="Q4" s="148"/>
      <c r="R4" s="148"/>
    </row>
    <row r="5" spans="1:18" ht="16" x14ac:dyDescent="0.2">
      <c r="A5" s="6" t="s">
        <v>36</v>
      </c>
      <c r="B5" s="6" t="s">
        <v>37</v>
      </c>
      <c r="C5" s="10" t="s">
        <v>728</v>
      </c>
      <c r="D5" s="19">
        <v>46310</v>
      </c>
      <c r="E5" s="19">
        <v>46023</v>
      </c>
      <c r="F5" s="6" t="s">
        <v>38</v>
      </c>
      <c r="G5" s="6" t="s">
        <v>18</v>
      </c>
      <c r="H5" s="6"/>
      <c r="I5" s="6" t="s">
        <v>29</v>
      </c>
      <c r="J5" s="98"/>
      <c r="K5" s="98" t="s">
        <v>709</v>
      </c>
      <c r="L5" s="98" t="s">
        <v>718</v>
      </c>
      <c r="M5" s="177" t="s">
        <v>39</v>
      </c>
      <c r="N5" s="177"/>
      <c r="O5" s="6" t="s">
        <v>40</v>
      </c>
      <c r="P5" s="6" t="s">
        <v>21</v>
      </c>
      <c r="Q5" s="6"/>
      <c r="R5" s="6"/>
    </row>
    <row r="6" spans="1:18" s="158" customFormat="1" ht="16" x14ac:dyDescent="0.2">
      <c r="A6" s="148" t="s">
        <v>754</v>
      </c>
      <c r="B6" s="148" t="s">
        <v>42</v>
      </c>
      <c r="C6" s="149" t="s">
        <v>753</v>
      </c>
      <c r="D6" s="150"/>
      <c r="E6" s="150"/>
      <c r="F6" s="148"/>
      <c r="G6" s="148"/>
      <c r="H6" s="148"/>
      <c r="I6" s="148" t="s">
        <v>29</v>
      </c>
      <c r="J6" s="161"/>
      <c r="K6" s="161" t="s">
        <v>711</v>
      </c>
      <c r="L6" s="161"/>
      <c r="M6" s="176"/>
      <c r="N6" s="176"/>
      <c r="O6" s="148"/>
      <c r="P6" s="148"/>
      <c r="Q6" s="148"/>
      <c r="R6" s="148"/>
    </row>
    <row r="7" spans="1:18" s="158" customFormat="1" ht="16" x14ac:dyDescent="0.2">
      <c r="A7" s="148" t="s">
        <v>755</v>
      </c>
      <c r="B7" s="148" t="s">
        <v>42</v>
      </c>
      <c r="C7" s="149" t="s">
        <v>756</v>
      </c>
      <c r="D7" s="150"/>
      <c r="E7" s="150"/>
      <c r="F7" s="148"/>
      <c r="G7" s="148"/>
      <c r="H7" s="148"/>
      <c r="I7" s="148"/>
      <c r="J7" s="161"/>
      <c r="K7" s="161"/>
      <c r="L7" s="161"/>
      <c r="M7" s="176"/>
      <c r="N7" s="176"/>
      <c r="O7" s="148"/>
      <c r="P7" s="148"/>
      <c r="Q7" s="148"/>
      <c r="R7" s="148"/>
    </row>
    <row r="8" spans="1:18" ht="16" x14ac:dyDescent="0.2">
      <c r="A8" s="11" t="s">
        <v>41</v>
      </c>
      <c r="B8" s="6" t="s">
        <v>42</v>
      </c>
      <c r="C8" s="10" t="s">
        <v>757</v>
      </c>
      <c r="D8" s="20">
        <v>46200</v>
      </c>
      <c r="E8" s="20">
        <v>46228</v>
      </c>
      <c r="F8" s="6" t="s">
        <v>43</v>
      </c>
      <c r="G8" s="32" t="s">
        <v>27</v>
      </c>
      <c r="H8" s="118">
        <v>46135</v>
      </c>
      <c r="I8" s="32" t="s">
        <v>44</v>
      </c>
      <c r="J8" s="162"/>
      <c r="K8" s="162"/>
      <c r="L8" s="162"/>
      <c r="M8" s="177" t="s">
        <v>45</v>
      </c>
      <c r="N8" s="177"/>
      <c r="O8" s="6" t="s">
        <v>43</v>
      </c>
      <c r="P8" s="6" t="s">
        <v>43</v>
      </c>
      <c r="Q8" s="6" t="s">
        <v>43</v>
      </c>
      <c r="R8" s="6" t="s">
        <v>43</v>
      </c>
    </row>
    <row r="9" spans="1:18" s="153" customFormat="1" ht="16" x14ac:dyDescent="0.2">
      <c r="A9" s="148" t="s">
        <v>46</v>
      </c>
      <c r="B9" s="148" t="s">
        <v>25</v>
      </c>
      <c r="C9" s="149" t="s">
        <v>47</v>
      </c>
      <c r="D9" s="150">
        <v>46254</v>
      </c>
      <c r="E9" s="150">
        <v>46285</v>
      </c>
      <c r="F9" s="148" t="s">
        <v>26</v>
      </c>
      <c r="G9" s="152" t="s">
        <v>18</v>
      </c>
      <c r="H9" s="156">
        <v>46198</v>
      </c>
      <c r="I9" s="152" t="s">
        <v>29</v>
      </c>
      <c r="J9" s="176">
        <v>46249</v>
      </c>
      <c r="K9" s="176" t="s">
        <v>709</v>
      </c>
      <c r="L9" s="176"/>
      <c r="M9" s="176" t="s">
        <v>49</v>
      </c>
      <c r="N9" s="176"/>
      <c r="O9" s="148" t="s">
        <v>20</v>
      </c>
      <c r="P9" s="148" t="s">
        <v>21</v>
      </c>
      <c r="Q9" s="148" t="s">
        <v>50</v>
      </c>
      <c r="R9" s="148" t="s">
        <v>51</v>
      </c>
    </row>
    <row r="10" spans="1:18" ht="16" x14ac:dyDescent="0.2">
      <c r="A10" s="6" t="s">
        <v>52</v>
      </c>
      <c r="B10" s="6" t="s">
        <v>25</v>
      </c>
      <c r="C10" s="10" t="s">
        <v>758</v>
      </c>
      <c r="D10" s="20">
        <v>46402</v>
      </c>
      <c r="E10" s="20"/>
      <c r="F10" s="8"/>
      <c r="G10" s="32" t="s">
        <v>27</v>
      </c>
      <c r="H10" s="32"/>
      <c r="I10" s="32"/>
      <c r="J10" s="119"/>
      <c r="K10" s="182" t="s">
        <v>709</v>
      </c>
      <c r="L10" s="119"/>
      <c r="M10" s="177"/>
      <c r="N10" s="177"/>
      <c r="O10" s="6" t="s">
        <v>20</v>
      </c>
      <c r="P10" s="6" t="s">
        <v>21</v>
      </c>
      <c r="Q10" s="6" t="s">
        <v>50</v>
      </c>
      <c r="R10" s="6" t="s">
        <v>51</v>
      </c>
    </row>
    <row r="11" spans="1:18" s="153" customFormat="1" ht="16" x14ac:dyDescent="0.2">
      <c r="A11" s="148" t="s">
        <v>53</v>
      </c>
      <c r="B11" s="148" t="s">
        <v>15</v>
      </c>
      <c r="C11" s="149" t="s">
        <v>724</v>
      </c>
      <c r="D11" s="150" t="s">
        <v>725</v>
      </c>
      <c r="E11" s="150" t="s">
        <v>725</v>
      </c>
      <c r="F11" s="148" t="s">
        <v>26</v>
      </c>
      <c r="G11" s="148" t="s">
        <v>27</v>
      </c>
      <c r="H11" s="148"/>
      <c r="I11" s="148"/>
      <c r="J11" s="161"/>
      <c r="K11" s="176" t="s">
        <v>709</v>
      </c>
      <c r="L11" s="161"/>
      <c r="M11" s="176" t="s">
        <v>55</v>
      </c>
      <c r="N11" s="176"/>
      <c r="O11" s="148" t="s">
        <v>40</v>
      </c>
      <c r="P11" s="148" t="s">
        <v>21</v>
      </c>
      <c r="Q11" s="148" t="s">
        <v>56</v>
      </c>
      <c r="R11" s="148" t="s">
        <v>57</v>
      </c>
    </row>
    <row r="12" spans="1:18" ht="16" x14ac:dyDescent="0.2">
      <c r="A12" s="11" t="s">
        <v>58</v>
      </c>
      <c r="B12" s="11" t="s">
        <v>15</v>
      </c>
      <c r="C12" s="10" t="s">
        <v>723</v>
      </c>
      <c r="D12" s="20">
        <v>46172</v>
      </c>
      <c r="E12" s="146">
        <v>46206</v>
      </c>
      <c r="F12" s="6" t="s">
        <v>59</v>
      </c>
      <c r="G12" s="32" t="s">
        <v>27</v>
      </c>
      <c r="H12" s="11" t="s">
        <v>60</v>
      </c>
      <c r="I12" s="11" t="s">
        <v>29</v>
      </c>
      <c r="J12" s="163"/>
      <c r="K12" s="163" t="s">
        <v>711</v>
      </c>
      <c r="L12" s="163" t="s">
        <v>710</v>
      </c>
      <c r="M12" s="177">
        <v>46202</v>
      </c>
      <c r="N12" s="177"/>
      <c r="O12" s="6" t="s">
        <v>20</v>
      </c>
      <c r="P12" s="6" t="s">
        <v>21</v>
      </c>
      <c r="Q12" s="6" t="s">
        <v>61</v>
      </c>
      <c r="R12" s="6" t="s">
        <v>61</v>
      </c>
    </row>
    <row r="13" spans="1:18" s="153" customFormat="1" ht="16" x14ac:dyDescent="0.2">
      <c r="A13" s="148" t="s">
        <v>62</v>
      </c>
      <c r="B13" s="148" t="s">
        <v>37</v>
      </c>
      <c r="C13" s="149" t="s">
        <v>733</v>
      </c>
      <c r="D13" s="150">
        <v>46235</v>
      </c>
      <c r="E13" s="154">
        <v>46447</v>
      </c>
      <c r="F13" s="148" t="s">
        <v>17</v>
      </c>
      <c r="G13" s="148" t="s">
        <v>27</v>
      </c>
      <c r="H13" s="148"/>
      <c r="I13" s="148" t="s">
        <v>29</v>
      </c>
      <c r="J13" s="161"/>
      <c r="K13" s="176" t="s">
        <v>709</v>
      </c>
      <c r="L13" s="161" t="s">
        <v>712</v>
      </c>
      <c r="M13" s="176"/>
      <c r="N13" s="176"/>
      <c r="O13" s="148" t="s">
        <v>63</v>
      </c>
      <c r="P13" s="148" t="s">
        <v>63</v>
      </c>
      <c r="Q13" s="148" t="s">
        <v>63</v>
      </c>
      <c r="R13" s="148" t="s">
        <v>64</v>
      </c>
    </row>
    <row r="14" spans="1:18" ht="16" x14ac:dyDescent="0.2">
      <c r="A14" s="6" t="s">
        <v>65</v>
      </c>
      <c r="B14" s="6" t="s">
        <v>66</v>
      </c>
      <c r="C14" s="10" t="s">
        <v>727</v>
      </c>
      <c r="D14" s="19" t="s">
        <v>726</v>
      </c>
      <c r="E14" s="19"/>
      <c r="F14" s="8"/>
      <c r="G14" s="32" t="s">
        <v>27</v>
      </c>
      <c r="H14" s="32"/>
      <c r="I14" s="32"/>
      <c r="J14" s="162"/>
      <c r="K14" s="163" t="s">
        <v>711</v>
      </c>
      <c r="L14" s="162" t="s">
        <v>719</v>
      </c>
      <c r="M14" s="177">
        <v>46280</v>
      </c>
      <c r="N14" s="177"/>
      <c r="O14" s="6"/>
      <c r="P14" s="6"/>
      <c r="Q14" s="6"/>
      <c r="R14" s="6"/>
    </row>
    <row r="15" spans="1:18" s="153" customFormat="1" x14ac:dyDescent="0.2">
      <c r="A15" s="148" t="s">
        <v>67</v>
      </c>
      <c r="B15" s="148" t="s">
        <v>25</v>
      </c>
      <c r="C15" s="148" t="s">
        <v>68</v>
      </c>
      <c r="D15" s="150" t="s">
        <v>45</v>
      </c>
      <c r="E15" s="150">
        <v>45901</v>
      </c>
      <c r="F15" s="148" t="s">
        <v>26</v>
      </c>
      <c r="G15" s="152" t="s">
        <v>689</v>
      </c>
      <c r="H15" s="152"/>
      <c r="I15" s="152"/>
      <c r="J15" s="160"/>
      <c r="K15" s="160"/>
      <c r="L15" s="160"/>
      <c r="M15" s="176"/>
      <c r="N15" s="176"/>
      <c r="O15" s="148"/>
      <c r="P15" s="148"/>
      <c r="Q15" s="148"/>
      <c r="R15" s="148"/>
    </row>
    <row r="16" spans="1:18" ht="16" x14ac:dyDescent="0.2">
      <c r="A16" s="6" t="s">
        <v>69</v>
      </c>
      <c r="B16" s="43" t="s">
        <v>70</v>
      </c>
      <c r="C16" s="10" t="s">
        <v>71</v>
      </c>
      <c r="D16" s="19">
        <v>46204</v>
      </c>
      <c r="E16" s="60">
        <v>46206</v>
      </c>
      <c r="F16" s="6" t="s">
        <v>17</v>
      </c>
      <c r="G16" s="11" t="s">
        <v>27</v>
      </c>
      <c r="H16" s="20">
        <v>46174</v>
      </c>
      <c r="I16" s="11" t="s">
        <v>29</v>
      </c>
      <c r="J16" s="14">
        <v>46199</v>
      </c>
      <c r="K16" s="14" t="s">
        <v>709</v>
      </c>
      <c r="L16" s="14"/>
      <c r="M16" s="177">
        <v>46202</v>
      </c>
      <c r="N16" s="177"/>
      <c r="O16" s="6" t="s">
        <v>43</v>
      </c>
      <c r="P16" s="6" t="s">
        <v>21</v>
      </c>
      <c r="Q16" s="6" t="s">
        <v>30</v>
      </c>
      <c r="R16" s="6" t="s">
        <v>72</v>
      </c>
    </row>
    <row r="17" spans="1:18" s="153" customFormat="1" ht="16" x14ac:dyDescent="0.2">
      <c r="A17" s="148" t="s">
        <v>73</v>
      </c>
      <c r="B17" s="148" t="s">
        <v>74</v>
      </c>
      <c r="C17" s="149" t="s">
        <v>759</v>
      </c>
      <c r="D17" s="150">
        <v>46204</v>
      </c>
      <c r="E17" s="154">
        <v>46235</v>
      </c>
      <c r="F17" s="148" t="s">
        <v>26</v>
      </c>
      <c r="G17" s="152" t="s">
        <v>689</v>
      </c>
      <c r="H17" s="148"/>
      <c r="I17" s="148"/>
      <c r="J17" s="161"/>
      <c r="K17" s="161" t="s">
        <v>709</v>
      </c>
      <c r="L17" s="161"/>
      <c r="M17" s="176">
        <v>46232</v>
      </c>
      <c r="N17" s="176" t="s">
        <v>715</v>
      </c>
      <c r="O17" s="148" t="s">
        <v>40</v>
      </c>
      <c r="P17" s="148" t="s">
        <v>21</v>
      </c>
      <c r="Q17" s="148" t="s">
        <v>30</v>
      </c>
      <c r="R17" s="148" t="s">
        <v>57</v>
      </c>
    </row>
    <row r="18" spans="1:18" ht="16" x14ac:dyDescent="0.2">
      <c r="A18" s="6" t="s">
        <v>75</v>
      </c>
      <c r="B18" s="6" t="s">
        <v>37</v>
      </c>
      <c r="C18" s="10" t="s">
        <v>752</v>
      </c>
      <c r="D18" s="19">
        <v>46174</v>
      </c>
      <c r="E18" s="60">
        <v>46235</v>
      </c>
      <c r="F18" s="6" t="s">
        <v>26</v>
      </c>
      <c r="G18" s="6" t="s">
        <v>18</v>
      </c>
      <c r="H18" s="20">
        <v>46174</v>
      </c>
      <c r="I18" s="11" t="s">
        <v>29</v>
      </c>
      <c r="J18" s="14">
        <v>46220</v>
      </c>
      <c r="K18" s="14" t="s">
        <v>709</v>
      </c>
      <c r="L18" s="14"/>
      <c r="M18" s="177">
        <v>46232</v>
      </c>
      <c r="N18" s="177"/>
      <c r="O18" s="6" t="s">
        <v>20</v>
      </c>
      <c r="P18" s="6" t="s">
        <v>21</v>
      </c>
      <c r="Q18" s="6" t="s">
        <v>76</v>
      </c>
      <c r="R18" s="6" t="s">
        <v>23</v>
      </c>
    </row>
    <row r="19" spans="1:18" s="153" customFormat="1" ht="16" x14ac:dyDescent="0.2">
      <c r="A19" s="148" t="s">
        <v>77</v>
      </c>
      <c r="B19" s="148" t="s">
        <v>15</v>
      </c>
      <c r="C19" s="149" t="s">
        <v>760</v>
      </c>
      <c r="D19" s="150">
        <v>46218</v>
      </c>
      <c r="E19" s="150">
        <v>46235</v>
      </c>
      <c r="F19" s="148" t="s">
        <v>26</v>
      </c>
      <c r="G19" s="148" t="s">
        <v>27</v>
      </c>
      <c r="H19" s="148" t="s">
        <v>78</v>
      </c>
      <c r="I19" s="148" t="s">
        <v>79</v>
      </c>
      <c r="J19" s="174">
        <v>46218</v>
      </c>
      <c r="K19" s="174" t="s">
        <v>709</v>
      </c>
      <c r="L19" s="174"/>
      <c r="M19" s="176">
        <v>46232</v>
      </c>
      <c r="N19" s="176" t="s">
        <v>278</v>
      </c>
      <c r="O19" s="148" t="s">
        <v>20</v>
      </c>
      <c r="P19" s="148" t="s">
        <v>21</v>
      </c>
      <c r="Q19" s="148" t="s">
        <v>80</v>
      </c>
      <c r="R19" s="148" t="s">
        <v>80</v>
      </c>
    </row>
    <row r="20" spans="1:18" ht="16" x14ac:dyDescent="0.2">
      <c r="A20" s="6" t="s">
        <v>81</v>
      </c>
      <c r="B20" s="6" t="s">
        <v>82</v>
      </c>
      <c r="C20" s="10" t="s">
        <v>83</v>
      </c>
      <c r="D20" s="19" t="s">
        <v>54</v>
      </c>
      <c r="E20" s="60">
        <v>46143</v>
      </c>
      <c r="F20" s="6" t="s">
        <v>43</v>
      </c>
      <c r="G20" s="6" t="s">
        <v>689</v>
      </c>
      <c r="H20" s="20">
        <v>46130</v>
      </c>
      <c r="I20" s="6" t="s">
        <v>44</v>
      </c>
      <c r="J20" s="98"/>
      <c r="K20" s="163" t="s">
        <v>711</v>
      </c>
      <c r="L20" s="98"/>
      <c r="M20" s="177" t="s">
        <v>55</v>
      </c>
      <c r="N20" s="177"/>
      <c r="O20" s="6" t="s">
        <v>20</v>
      </c>
      <c r="P20" s="6" t="s">
        <v>21</v>
      </c>
      <c r="Q20" s="6" t="s">
        <v>80</v>
      </c>
      <c r="R20" s="6" t="s">
        <v>23</v>
      </c>
    </row>
    <row r="21" spans="1:18" s="153" customFormat="1" ht="16" x14ac:dyDescent="0.2">
      <c r="A21" s="148" t="s">
        <v>84</v>
      </c>
      <c r="B21" s="148" t="s">
        <v>85</v>
      </c>
      <c r="C21" s="149" t="s">
        <v>86</v>
      </c>
      <c r="D21" s="150" t="s">
        <v>45</v>
      </c>
      <c r="E21" s="150"/>
      <c r="F21" s="148"/>
      <c r="G21" s="148" t="s">
        <v>27</v>
      </c>
      <c r="H21" s="148"/>
      <c r="I21" s="148"/>
      <c r="J21" s="161"/>
      <c r="K21" s="174" t="s">
        <v>711</v>
      </c>
      <c r="L21" s="161"/>
      <c r="M21" s="176"/>
      <c r="N21" s="176"/>
      <c r="O21" s="148"/>
      <c r="P21" s="148"/>
      <c r="Q21" s="148"/>
      <c r="R21" s="148"/>
    </row>
    <row r="22" spans="1:18" ht="16" x14ac:dyDescent="0.2">
      <c r="A22" s="11" t="s">
        <v>87</v>
      </c>
      <c r="B22" s="6" t="s">
        <v>85</v>
      </c>
      <c r="C22" s="10" t="s">
        <v>88</v>
      </c>
      <c r="D22" s="20"/>
      <c r="E22" s="20"/>
      <c r="F22" s="6"/>
      <c r="G22" s="32"/>
      <c r="H22" s="32"/>
      <c r="I22" s="32"/>
      <c r="J22" s="162"/>
      <c r="K22" s="163" t="s">
        <v>711</v>
      </c>
      <c r="L22" s="162"/>
      <c r="M22" s="177"/>
      <c r="N22" s="177"/>
      <c r="O22" s="6"/>
      <c r="P22" s="6"/>
      <c r="Q22" s="6"/>
      <c r="R22" s="6"/>
    </row>
    <row r="23" spans="1:18" s="153" customFormat="1" x14ac:dyDescent="0.2">
      <c r="A23" s="148" t="s">
        <v>89</v>
      </c>
      <c r="B23" s="183" t="s">
        <v>85</v>
      </c>
      <c r="C23" s="149"/>
      <c r="D23" s="150"/>
      <c r="E23" s="154"/>
      <c r="F23" s="148"/>
      <c r="G23" s="148"/>
      <c r="H23" s="148"/>
      <c r="I23" s="148"/>
      <c r="J23" s="161"/>
      <c r="K23" s="174" t="s">
        <v>711</v>
      </c>
      <c r="L23" s="161"/>
      <c r="M23" s="176"/>
      <c r="N23" s="176"/>
      <c r="O23" s="148"/>
      <c r="P23" s="148"/>
      <c r="Q23" s="148"/>
      <c r="R23" s="148"/>
    </row>
    <row r="24" spans="1:18" ht="16" x14ac:dyDescent="0.2">
      <c r="A24" s="11" t="s">
        <v>90</v>
      </c>
      <c r="B24" s="11" t="s">
        <v>42</v>
      </c>
      <c r="C24" s="10" t="s">
        <v>91</v>
      </c>
      <c r="D24" s="20"/>
      <c r="E24" s="20"/>
      <c r="F24" s="6"/>
      <c r="G24" s="11"/>
      <c r="H24" s="11"/>
      <c r="I24" s="11"/>
      <c r="J24" s="163"/>
      <c r="K24" s="163" t="s">
        <v>711</v>
      </c>
      <c r="L24" s="163"/>
      <c r="M24" s="177"/>
      <c r="N24" s="177"/>
      <c r="O24" s="6"/>
      <c r="P24" s="6"/>
      <c r="Q24" s="6"/>
      <c r="R24" s="6"/>
    </row>
    <row r="25" spans="1:18" s="153" customFormat="1" ht="16" x14ac:dyDescent="0.2">
      <c r="A25" s="148" t="s">
        <v>92</v>
      </c>
      <c r="B25" s="183" t="s">
        <v>42</v>
      </c>
      <c r="C25" s="149" t="s">
        <v>93</v>
      </c>
      <c r="D25" s="150"/>
      <c r="E25" s="154"/>
      <c r="F25" s="148"/>
      <c r="G25" s="148"/>
      <c r="H25" s="148"/>
      <c r="I25" s="148"/>
      <c r="J25" s="161"/>
      <c r="K25" s="174" t="s">
        <v>711</v>
      </c>
      <c r="L25" s="161"/>
      <c r="M25" s="176"/>
      <c r="N25" s="176"/>
      <c r="O25" s="148"/>
      <c r="P25" s="148"/>
      <c r="Q25" s="148"/>
      <c r="R25" s="148"/>
    </row>
    <row r="26" spans="1:18" ht="16" x14ac:dyDescent="0.2">
      <c r="A26" s="6" t="s">
        <v>94</v>
      </c>
      <c r="B26" s="184" t="s">
        <v>42</v>
      </c>
      <c r="C26" s="10" t="s">
        <v>93</v>
      </c>
      <c r="D26" s="19"/>
      <c r="E26" s="60"/>
      <c r="F26" s="6"/>
      <c r="G26" s="11"/>
      <c r="H26" s="11"/>
      <c r="I26" s="11"/>
      <c r="J26" s="163"/>
      <c r="K26" s="163" t="s">
        <v>711</v>
      </c>
      <c r="L26" s="163"/>
      <c r="M26" s="177"/>
      <c r="N26" s="177"/>
      <c r="O26" s="6"/>
      <c r="P26" s="6"/>
      <c r="Q26" s="6"/>
      <c r="R26" s="6"/>
    </row>
    <row r="27" spans="1:18" ht="16" x14ac:dyDescent="0.2">
      <c r="A27" s="6" t="s">
        <v>95</v>
      </c>
      <c r="B27" s="43" t="s">
        <v>42</v>
      </c>
      <c r="C27" s="10" t="s">
        <v>761</v>
      </c>
      <c r="D27" s="19">
        <v>46300</v>
      </c>
      <c r="E27" s="60">
        <v>46444</v>
      </c>
      <c r="F27" s="6" t="s">
        <v>45</v>
      </c>
      <c r="G27" s="11" t="s">
        <v>27</v>
      </c>
      <c r="H27" s="11" t="s">
        <v>45</v>
      </c>
      <c r="I27" s="11" t="s">
        <v>29</v>
      </c>
      <c r="J27" s="163" t="s">
        <v>45</v>
      </c>
      <c r="K27" s="163" t="s">
        <v>711</v>
      </c>
      <c r="L27" s="163"/>
      <c r="M27" s="177" t="s">
        <v>45</v>
      </c>
      <c r="N27" s="177"/>
      <c r="O27" s="6" t="s">
        <v>20</v>
      </c>
      <c r="P27" s="6" t="s">
        <v>21</v>
      </c>
      <c r="Q27" s="6" t="s">
        <v>96</v>
      </c>
      <c r="R27" s="6" t="s">
        <v>45</v>
      </c>
    </row>
    <row r="28" spans="1:18" s="153" customFormat="1" ht="16" x14ac:dyDescent="0.2">
      <c r="A28" s="148" t="s">
        <v>97</v>
      </c>
      <c r="B28" s="148" t="s">
        <v>42</v>
      </c>
      <c r="C28" s="149" t="s">
        <v>98</v>
      </c>
      <c r="D28" s="150"/>
      <c r="E28" s="154"/>
      <c r="F28" s="148"/>
      <c r="G28" s="148"/>
      <c r="H28" s="148"/>
      <c r="I28" s="148"/>
      <c r="J28" s="161"/>
      <c r="K28" s="174" t="s">
        <v>711</v>
      </c>
      <c r="L28" s="161"/>
      <c r="M28" s="176"/>
      <c r="N28" s="176"/>
      <c r="O28" s="148"/>
      <c r="P28" s="148"/>
      <c r="Q28" s="148"/>
      <c r="R28" s="148"/>
    </row>
    <row r="29" spans="1:18" ht="16" x14ac:dyDescent="0.2">
      <c r="A29" s="6" t="s">
        <v>99</v>
      </c>
      <c r="B29" s="6" t="s">
        <v>42</v>
      </c>
      <c r="C29" s="10" t="s">
        <v>98</v>
      </c>
      <c r="D29" s="19"/>
      <c r="E29" s="60"/>
      <c r="F29" s="6"/>
      <c r="G29" s="11"/>
      <c r="H29" s="11"/>
      <c r="I29" s="11"/>
      <c r="J29" s="163"/>
      <c r="K29" s="163" t="s">
        <v>711</v>
      </c>
      <c r="L29" s="163"/>
      <c r="M29" s="177"/>
      <c r="N29" s="177"/>
      <c r="O29" s="6"/>
      <c r="P29" s="6"/>
      <c r="Q29" s="6"/>
      <c r="R29" s="6"/>
    </row>
    <row r="30" spans="1:18" s="153" customFormat="1" ht="16" x14ac:dyDescent="0.2">
      <c r="A30" s="148" t="s">
        <v>100</v>
      </c>
      <c r="B30" s="148" t="s">
        <v>42</v>
      </c>
      <c r="C30" s="149" t="s">
        <v>101</v>
      </c>
      <c r="D30" s="150">
        <v>46223</v>
      </c>
      <c r="E30" s="154">
        <v>46264</v>
      </c>
      <c r="F30" s="148" t="s">
        <v>45</v>
      </c>
      <c r="G30" s="148" t="s">
        <v>18</v>
      </c>
      <c r="H30" s="148" t="s">
        <v>45</v>
      </c>
      <c r="I30" s="148" t="s">
        <v>29</v>
      </c>
      <c r="J30" s="174">
        <v>46246</v>
      </c>
      <c r="K30" s="174" t="s">
        <v>711</v>
      </c>
      <c r="L30" s="174"/>
      <c r="M30" s="176">
        <v>46259</v>
      </c>
      <c r="N30" s="176"/>
      <c r="O30" s="148" t="s">
        <v>20</v>
      </c>
      <c r="P30" s="148" t="s">
        <v>21</v>
      </c>
      <c r="Q30" s="148" t="s">
        <v>96</v>
      </c>
      <c r="R30" s="148" t="s">
        <v>45</v>
      </c>
    </row>
    <row r="31" spans="1:18" ht="16" x14ac:dyDescent="0.2">
      <c r="A31" s="6" t="s">
        <v>102</v>
      </c>
      <c r="B31" s="6" t="s">
        <v>42</v>
      </c>
      <c r="C31" s="10" t="s">
        <v>101</v>
      </c>
      <c r="D31" s="19">
        <v>46249</v>
      </c>
      <c r="E31" s="60">
        <v>46264</v>
      </c>
      <c r="F31" s="6"/>
      <c r="G31" s="11" t="s">
        <v>18</v>
      </c>
      <c r="H31" s="11" t="s">
        <v>45</v>
      </c>
      <c r="I31" s="11" t="s">
        <v>29</v>
      </c>
      <c r="J31" s="14">
        <v>46231</v>
      </c>
      <c r="K31" s="163" t="s">
        <v>711</v>
      </c>
      <c r="L31" s="14"/>
      <c r="M31" s="177">
        <v>46259</v>
      </c>
      <c r="N31" s="177"/>
      <c r="O31" s="6" t="s">
        <v>20</v>
      </c>
      <c r="P31" s="6" t="s">
        <v>21</v>
      </c>
      <c r="Q31" s="6" t="s">
        <v>96</v>
      </c>
      <c r="R31" s="6" t="s">
        <v>45</v>
      </c>
    </row>
    <row r="32" spans="1:18" s="153" customFormat="1" ht="16" x14ac:dyDescent="0.2">
      <c r="A32" s="148" t="s">
        <v>103</v>
      </c>
      <c r="B32" s="155" t="s">
        <v>42</v>
      </c>
      <c r="C32" s="149" t="s">
        <v>762</v>
      </c>
      <c r="D32" s="150" t="s">
        <v>54</v>
      </c>
      <c r="E32" s="150">
        <v>46246</v>
      </c>
      <c r="F32" s="148" t="s">
        <v>43</v>
      </c>
      <c r="G32" s="148" t="s">
        <v>104</v>
      </c>
      <c r="H32" s="148"/>
      <c r="I32" s="148"/>
      <c r="J32" s="161"/>
      <c r="K32" s="161"/>
      <c r="L32" s="161"/>
      <c r="M32" s="176" t="s">
        <v>43</v>
      </c>
      <c r="N32" s="176"/>
      <c r="O32" s="148"/>
      <c r="P32" s="148"/>
      <c r="Q32" s="148"/>
      <c r="R32" s="148"/>
    </row>
    <row r="33" spans="1:18" s="26" customFormat="1" ht="16" x14ac:dyDescent="0.2">
      <c r="A33" s="6" t="s">
        <v>105</v>
      </c>
      <c r="B33" s="147" t="s">
        <v>42</v>
      </c>
      <c r="C33" s="10" t="s">
        <v>106</v>
      </c>
      <c r="D33" s="19">
        <v>46181</v>
      </c>
      <c r="E33" s="60">
        <v>46209</v>
      </c>
      <c r="F33" s="6" t="s">
        <v>45</v>
      </c>
      <c r="G33" s="6" t="s">
        <v>27</v>
      </c>
      <c r="H33" s="6" t="s">
        <v>45</v>
      </c>
      <c r="I33" s="6" t="s">
        <v>29</v>
      </c>
      <c r="J33" s="14">
        <v>46188</v>
      </c>
      <c r="K33" s="163" t="s">
        <v>711</v>
      </c>
      <c r="L33" s="14" t="s">
        <v>714</v>
      </c>
      <c r="M33" s="177">
        <v>46205</v>
      </c>
      <c r="N33" s="177"/>
      <c r="O33" s="6" t="s">
        <v>20</v>
      </c>
      <c r="P33" s="6" t="s">
        <v>21</v>
      </c>
      <c r="Q33" s="6" t="s">
        <v>96</v>
      </c>
      <c r="R33" s="6" t="s">
        <v>107</v>
      </c>
    </row>
    <row r="34" spans="1:18" s="26" customFormat="1" ht="16" x14ac:dyDescent="0.2">
      <c r="A34" s="6" t="s">
        <v>763</v>
      </c>
      <c r="B34" s="147" t="s">
        <v>42</v>
      </c>
      <c r="C34" s="10" t="s">
        <v>764</v>
      </c>
      <c r="D34" s="19"/>
      <c r="E34" s="60"/>
      <c r="F34" s="6"/>
      <c r="G34" s="6"/>
      <c r="H34" s="6"/>
      <c r="I34" s="6"/>
      <c r="J34" s="14"/>
      <c r="K34" s="163"/>
      <c r="L34" s="14"/>
      <c r="M34" s="177"/>
      <c r="N34" s="177"/>
      <c r="O34" s="6"/>
      <c r="P34" s="6"/>
      <c r="Q34" s="6"/>
      <c r="R34" s="6"/>
    </row>
    <row r="35" spans="1:18" s="26" customFormat="1" ht="16" x14ac:dyDescent="0.2">
      <c r="A35" s="6" t="s">
        <v>108</v>
      </c>
      <c r="B35" s="147" t="s">
        <v>25</v>
      </c>
      <c r="C35" s="10" t="s">
        <v>739</v>
      </c>
      <c r="D35" s="19"/>
      <c r="E35" s="60"/>
      <c r="F35" s="6"/>
      <c r="G35" s="6"/>
      <c r="H35" s="6"/>
      <c r="I35" s="6"/>
      <c r="J35" s="98"/>
      <c r="K35" s="98" t="s">
        <v>709</v>
      </c>
      <c r="L35" s="98"/>
      <c r="M35" s="177"/>
      <c r="N35" s="177"/>
      <c r="O35" s="6"/>
      <c r="P35" s="6"/>
      <c r="Q35" s="6"/>
      <c r="R35" s="6"/>
    </row>
    <row r="36" spans="1:18" s="26" customFormat="1" ht="32" x14ac:dyDescent="0.2">
      <c r="A36" s="148" t="s">
        <v>110</v>
      </c>
      <c r="B36" s="155" t="s">
        <v>70</v>
      </c>
      <c r="C36" s="149" t="s">
        <v>109</v>
      </c>
      <c r="D36" s="172" t="s">
        <v>111</v>
      </c>
      <c r="E36" s="154">
        <v>46236</v>
      </c>
      <c r="F36" s="148" t="s">
        <v>17</v>
      </c>
      <c r="G36" s="148" t="s">
        <v>48</v>
      </c>
      <c r="H36" s="173">
        <v>46183</v>
      </c>
      <c r="I36" s="148" t="s">
        <v>112</v>
      </c>
      <c r="J36" s="174">
        <v>46226</v>
      </c>
      <c r="K36" s="174" t="s">
        <v>709</v>
      </c>
      <c r="L36" s="174"/>
      <c r="M36" s="176">
        <v>46235</v>
      </c>
      <c r="N36" s="176" t="s">
        <v>709</v>
      </c>
      <c r="O36" s="148" t="s">
        <v>113</v>
      </c>
      <c r="P36" s="148" t="s">
        <v>113</v>
      </c>
      <c r="Q36" s="148" t="s">
        <v>113</v>
      </c>
      <c r="R36" s="148" t="s">
        <v>113</v>
      </c>
    </row>
    <row r="37" spans="1:18" s="26" customFormat="1" ht="16" x14ac:dyDescent="0.2">
      <c r="A37" s="6" t="s">
        <v>114</v>
      </c>
      <c r="B37" s="147" t="s">
        <v>70</v>
      </c>
      <c r="C37" s="10" t="s">
        <v>740</v>
      </c>
      <c r="D37" s="169"/>
      <c r="E37" s="60"/>
      <c r="F37" s="6"/>
      <c r="G37" s="6"/>
      <c r="H37" s="38"/>
      <c r="I37" s="6"/>
      <c r="J37" s="170"/>
      <c r="K37" s="170"/>
      <c r="L37" s="170"/>
      <c r="M37" s="177"/>
      <c r="N37" s="177"/>
      <c r="O37" s="6"/>
      <c r="P37" s="6"/>
      <c r="Q37" s="6"/>
      <c r="R37" s="6"/>
    </row>
    <row r="38" spans="1:18" s="26" customFormat="1" ht="16" x14ac:dyDescent="0.2">
      <c r="A38" s="148" t="s">
        <v>115</v>
      </c>
      <c r="B38" s="155" t="s">
        <v>70</v>
      </c>
      <c r="C38" s="149" t="s">
        <v>741</v>
      </c>
      <c r="D38" s="172">
        <v>46280</v>
      </c>
      <c r="E38" s="154">
        <v>46447</v>
      </c>
      <c r="F38" s="148" t="s">
        <v>26</v>
      </c>
      <c r="G38" s="148" t="s">
        <v>48</v>
      </c>
      <c r="H38" s="173"/>
      <c r="I38" s="148"/>
      <c r="J38" s="175"/>
      <c r="K38" s="175" t="s">
        <v>709</v>
      </c>
      <c r="L38" s="175"/>
      <c r="M38" s="176"/>
      <c r="N38" s="176" t="s">
        <v>717</v>
      </c>
      <c r="O38" s="148" t="s">
        <v>20</v>
      </c>
      <c r="P38" s="148" t="s">
        <v>21</v>
      </c>
      <c r="Q38" s="148"/>
      <c r="R38" s="148"/>
    </row>
    <row r="39" spans="1:18" s="26" customFormat="1" ht="16" x14ac:dyDescent="0.2">
      <c r="A39" s="6" t="s">
        <v>720</v>
      </c>
      <c r="B39" s="147" t="s">
        <v>70</v>
      </c>
      <c r="C39" s="10" t="s">
        <v>743</v>
      </c>
      <c r="D39" s="169" t="s">
        <v>744</v>
      </c>
      <c r="E39" s="60"/>
      <c r="F39" s="6" t="s">
        <v>35</v>
      </c>
      <c r="G39" s="6" t="s">
        <v>48</v>
      </c>
      <c r="H39" s="38">
        <v>46266</v>
      </c>
      <c r="I39" s="6" t="s">
        <v>29</v>
      </c>
      <c r="J39" s="170">
        <v>46296</v>
      </c>
      <c r="K39" s="170" t="s">
        <v>709</v>
      </c>
      <c r="L39" s="170"/>
      <c r="M39" s="177"/>
      <c r="N39" s="177"/>
      <c r="O39" s="6" t="s">
        <v>20</v>
      </c>
      <c r="P39" s="6" t="s">
        <v>21</v>
      </c>
      <c r="Q39" s="6"/>
      <c r="R39" s="6"/>
    </row>
    <row r="40" spans="1:18" s="26" customFormat="1" ht="16" x14ac:dyDescent="0.2">
      <c r="A40" s="148" t="s">
        <v>722</v>
      </c>
      <c r="B40" s="155" t="s">
        <v>70</v>
      </c>
      <c r="C40" s="149" t="s">
        <v>734</v>
      </c>
      <c r="D40" s="172">
        <v>46209</v>
      </c>
      <c r="E40" s="154">
        <v>46235</v>
      </c>
      <c r="F40" s="148" t="s">
        <v>735</v>
      </c>
      <c r="G40" s="148" t="s">
        <v>736</v>
      </c>
      <c r="H40" s="173" t="s">
        <v>737</v>
      </c>
      <c r="I40" s="148"/>
      <c r="J40" s="175" t="s">
        <v>738</v>
      </c>
      <c r="K40" s="175"/>
      <c r="L40" s="175"/>
      <c r="M40" s="176">
        <v>46227</v>
      </c>
      <c r="N40" s="176"/>
      <c r="O40" s="148" t="s">
        <v>30</v>
      </c>
      <c r="P40" s="148" t="s">
        <v>30</v>
      </c>
      <c r="Q40" s="148" t="s">
        <v>30</v>
      </c>
      <c r="R40" s="148" t="s">
        <v>57</v>
      </c>
    </row>
    <row r="41" spans="1:18" s="26" customFormat="1" ht="16" x14ac:dyDescent="0.2">
      <c r="A41" s="6" t="s">
        <v>746</v>
      </c>
      <c r="B41" s="147" t="s">
        <v>15</v>
      </c>
      <c r="C41" s="10" t="s">
        <v>747</v>
      </c>
      <c r="D41" s="169" t="s">
        <v>748</v>
      </c>
      <c r="E41" s="19" t="s">
        <v>749</v>
      </c>
      <c r="F41" s="6" t="s">
        <v>45</v>
      </c>
      <c r="G41" s="6" t="s">
        <v>27</v>
      </c>
      <c r="H41" s="38" t="s">
        <v>45</v>
      </c>
      <c r="I41" s="6" t="s">
        <v>29</v>
      </c>
      <c r="J41" s="170"/>
      <c r="K41" s="170"/>
      <c r="L41" s="170"/>
      <c r="M41" s="177">
        <v>46290</v>
      </c>
      <c r="N41" s="177" t="s">
        <v>715</v>
      </c>
      <c r="O41" s="6" t="s">
        <v>750</v>
      </c>
      <c r="P41" s="6" t="s">
        <v>637</v>
      </c>
      <c r="Q41" s="6" t="s">
        <v>751</v>
      </c>
      <c r="R41" s="6" t="s">
        <v>751</v>
      </c>
    </row>
    <row r="42" spans="1:18" s="26" customFormat="1" ht="16" x14ac:dyDescent="0.2">
      <c r="A42" s="185" t="s">
        <v>664</v>
      </c>
      <c r="B42" s="186"/>
      <c r="C42" s="187" t="s">
        <v>765</v>
      </c>
      <c r="D42" s="188"/>
      <c r="E42" s="189"/>
      <c r="F42" s="185"/>
      <c r="G42" s="185"/>
      <c r="H42" s="190"/>
      <c r="J42" s="191"/>
      <c r="K42" s="191"/>
      <c r="L42" s="191"/>
      <c r="M42" s="192"/>
      <c r="N42" s="192"/>
    </row>
    <row r="43" spans="1:18" s="26" customFormat="1" ht="16" x14ac:dyDescent="0.2">
      <c r="A43" s="185" t="s">
        <v>766</v>
      </c>
      <c r="B43" s="186" t="s">
        <v>133</v>
      </c>
      <c r="C43" s="187" t="s">
        <v>767</v>
      </c>
      <c r="D43" s="188"/>
      <c r="E43" s="189"/>
      <c r="F43" s="185"/>
      <c r="G43" s="185"/>
      <c r="H43" s="190"/>
      <c r="J43" s="191" t="s">
        <v>768</v>
      </c>
      <c r="K43" s="191"/>
      <c r="L43" s="191"/>
      <c r="M43" s="192"/>
      <c r="N43" s="192"/>
    </row>
    <row r="44" spans="1:18" x14ac:dyDescent="0.2">
      <c r="A44" s="178" t="s">
        <v>116</v>
      </c>
      <c r="B44" s="178"/>
      <c r="C44" s="179"/>
      <c r="D44" s="180"/>
      <c r="E44" s="180"/>
      <c r="F44" s="179"/>
      <c r="G44" s="179"/>
      <c r="H44" s="30"/>
      <c r="I44" s="30"/>
      <c r="J44" s="165"/>
      <c r="K44" s="165"/>
      <c r="L44" s="165"/>
      <c r="M44" s="30"/>
      <c r="N44" s="30"/>
      <c r="O44" s="30"/>
      <c r="P44" s="30"/>
      <c r="Q44" s="30"/>
    </row>
    <row r="45" spans="1:18" x14ac:dyDescent="0.2">
      <c r="A45" s="5" t="s">
        <v>117</v>
      </c>
      <c r="B45" s="5"/>
      <c r="C45" s="5" t="s">
        <v>2</v>
      </c>
      <c r="D45" s="12" t="s">
        <v>3</v>
      </c>
      <c r="E45" s="12" t="s">
        <v>4</v>
      </c>
      <c r="F45" s="5" t="s">
        <v>5</v>
      </c>
      <c r="G45" s="5" t="s">
        <v>6</v>
      </c>
      <c r="H45" s="1"/>
      <c r="I45" s="1"/>
      <c r="J45" s="166"/>
      <c r="K45" s="166"/>
      <c r="L45" s="166"/>
      <c r="M45" s="1"/>
      <c r="N45" s="1"/>
      <c r="O45" s="27"/>
      <c r="P45" s="27"/>
      <c r="Q45" s="27"/>
    </row>
    <row r="46" spans="1:18" ht="16" x14ac:dyDescent="0.2">
      <c r="A46" s="6" t="s">
        <v>118</v>
      </c>
      <c r="B46" s="43" t="s">
        <v>42</v>
      </c>
      <c r="C46" s="138" t="s">
        <v>119</v>
      </c>
      <c r="D46" s="19"/>
      <c r="E46" s="19">
        <v>45778</v>
      </c>
      <c r="F46" s="6" t="s">
        <v>43</v>
      </c>
      <c r="G46" s="6" t="s">
        <v>120</v>
      </c>
    </row>
    <row r="47" spans="1:18" ht="16" x14ac:dyDescent="0.2">
      <c r="A47" s="6" t="s">
        <v>121</v>
      </c>
      <c r="B47" s="43" t="s">
        <v>42</v>
      </c>
      <c r="C47" s="138" t="s">
        <v>122</v>
      </c>
      <c r="D47" s="19" t="s">
        <v>123</v>
      </c>
      <c r="E47" s="19"/>
      <c r="F47" s="6"/>
      <c r="G47" s="11" t="s">
        <v>27</v>
      </c>
      <c r="H47"/>
      <c r="I47"/>
      <c r="J47" s="167"/>
      <c r="K47" s="167"/>
      <c r="L47" s="167"/>
      <c r="M47"/>
      <c r="N47"/>
    </row>
    <row r="48" spans="1:18" ht="32" x14ac:dyDescent="0.2">
      <c r="A48" s="6" t="s">
        <v>124</v>
      </c>
      <c r="B48" s="6" t="s">
        <v>42</v>
      </c>
      <c r="C48" s="138" t="s">
        <v>125</v>
      </c>
      <c r="D48" s="19" t="s">
        <v>123</v>
      </c>
      <c r="E48" s="19"/>
      <c r="F48" s="6"/>
      <c r="G48" s="11" t="s">
        <v>27</v>
      </c>
      <c r="H48"/>
      <c r="I48"/>
      <c r="J48" s="167"/>
      <c r="K48" s="167"/>
      <c r="L48" s="167"/>
      <c r="M48"/>
      <c r="N48"/>
    </row>
    <row r="49" spans="1:18" x14ac:dyDescent="0.2">
      <c r="A49" s="6" t="s">
        <v>126</v>
      </c>
      <c r="B49" s="43" t="s">
        <v>42</v>
      </c>
      <c r="C49" s="137" t="s">
        <v>119</v>
      </c>
      <c r="D49" s="19" t="s">
        <v>127</v>
      </c>
      <c r="E49" s="19">
        <v>45810</v>
      </c>
      <c r="F49" s="6" t="s">
        <v>43</v>
      </c>
      <c r="G49" s="11" t="s">
        <v>48</v>
      </c>
      <c r="H49"/>
      <c r="I49"/>
      <c r="J49" s="167"/>
      <c r="K49" s="167"/>
      <c r="L49" s="167"/>
      <c r="M49"/>
      <c r="N49"/>
    </row>
    <row r="50" spans="1:18" ht="16" x14ac:dyDescent="0.2">
      <c r="A50" s="11" t="s">
        <v>128</v>
      </c>
      <c r="B50" s="11" t="s">
        <v>129</v>
      </c>
      <c r="C50" s="10" t="s">
        <v>130</v>
      </c>
      <c r="D50" s="19" t="s">
        <v>131</v>
      </c>
      <c r="E50" s="60"/>
      <c r="F50" s="6" t="s">
        <v>26</v>
      </c>
      <c r="G50" s="11" t="s">
        <v>48</v>
      </c>
      <c r="H50"/>
      <c r="I50"/>
      <c r="J50" s="167"/>
      <c r="K50" s="167"/>
      <c r="L50" s="167"/>
      <c r="M50"/>
      <c r="N50"/>
    </row>
    <row r="51" spans="1:18" x14ac:dyDescent="0.2">
      <c r="A51" s="6" t="s">
        <v>132</v>
      </c>
      <c r="B51" s="6" t="s">
        <v>133</v>
      </c>
      <c r="C51" s="10"/>
      <c r="D51" s="19" t="s">
        <v>131</v>
      </c>
      <c r="E51" s="60"/>
      <c r="F51" s="6"/>
      <c r="G51" s="11" t="s">
        <v>48</v>
      </c>
      <c r="H51"/>
      <c r="I51"/>
      <c r="J51" s="167"/>
      <c r="K51" s="167"/>
      <c r="L51" s="167"/>
      <c r="M51"/>
      <c r="N51"/>
    </row>
    <row r="52" spans="1:18" ht="16" x14ac:dyDescent="0.2">
      <c r="A52" s="6" t="s">
        <v>134</v>
      </c>
      <c r="B52" s="6" t="s">
        <v>135</v>
      </c>
      <c r="C52" s="10" t="s">
        <v>136</v>
      </c>
      <c r="D52" s="20" t="s">
        <v>137</v>
      </c>
      <c r="E52" s="20">
        <v>45962</v>
      </c>
      <c r="F52" s="6" t="s">
        <v>43</v>
      </c>
      <c r="G52" s="32" t="s">
        <v>48</v>
      </c>
      <c r="H52" s="145"/>
      <c r="I52" s="145"/>
      <c r="J52" s="168"/>
      <c r="K52" s="168"/>
      <c r="L52" s="168"/>
      <c r="M52" s="145"/>
      <c r="N52" s="145"/>
    </row>
    <row r="53" spans="1:18" x14ac:dyDescent="0.2">
      <c r="A53" s="6" t="s">
        <v>138</v>
      </c>
      <c r="B53" s="6" t="s">
        <v>45</v>
      </c>
      <c r="C53" s="10"/>
      <c r="D53" s="19"/>
      <c r="E53" s="19"/>
      <c r="F53" s="6"/>
      <c r="G53" s="32"/>
      <c r="H53" s="145"/>
      <c r="I53" s="145"/>
      <c r="J53" s="168"/>
      <c r="K53" s="168"/>
      <c r="L53" s="168"/>
      <c r="M53" s="145"/>
      <c r="N53" s="145"/>
    </row>
    <row r="54" spans="1:18" x14ac:dyDescent="0.2">
      <c r="A54" s="6" t="s">
        <v>139</v>
      </c>
      <c r="B54" s="6" t="s">
        <v>42</v>
      </c>
      <c r="C54" s="138"/>
      <c r="D54" s="19" t="s">
        <v>45</v>
      </c>
      <c r="E54" s="19"/>
      <c r="F54" s="6"/>
      <c r="G54" s="6" t="s">
        <v>27</v>
      </c>
    </row>
    <row r="55" spans="1:18" ht="16" x14ac:dyDescent="0.2">
      <c r="A55" s="6" t="s">
        <v>140</v>
      </c>
      <c r="B55" s="6" t="s">
        <v>15</v>
      </c>
      <c r="C55" s="10" t="s">
        <v>141</v>
      </c>
      <c r="D55" s="19" t="s">
        <v>142</v>
      </c>
      <c r="E55" s="60">
        <v>45823</v>
      </c>
      <c r="F55" s="6" t="s">
        <v>17</v>
      </c>
      <c r="G55" s="11" t="s">
        <v>143</v>
      </c>
      <c r="H55"/>
      <c r="I55"/>
      <c r="J55" s="167"/>
      <c r="K55" s="167"/>
      <c r="L55" s="167"/>
      <c r="M55"/>
      <c r="N55"/>
    </row>
    <row r="56" spans="1:18" ht="16" x14ac:dyDescent="0.2">
      <c r="A56" s="6" t="s">
        <v>144</v>
      </c>
      <c r="B56" s="6" t="s">
        <v>145</v>
      </c>
      <c r="C56" s="10" t="s">
        <v>136</v>
      </c>
      <c r="D56" s="19"/>
      <c r="E56" s="19"/>
      <c r="F56" s="6"/>
      <c r="G56" s="32"/>
      <c r="H56" s="32"/>
      <c r="I56" s="32"/>
      <c r="J56" s="162"/>
      <c r="K56" s="162"/>
      <c r="L56" s="162"/>
      <c r="M56" s="32"/>
      <c r="N56" s="32"/>
      <c r="O56" s="6"/>
      <c r="P56" s="6"/>
      <c r="Q56" s="6"/>
      <c r="R56" s="6"/>
    </row>
    <row r="57" spans="1:18" ht="16" x14ac:dyDescent="0.2">
      <c r="A57" s="6" t="s">
        <v>146</v>
      </c>
      <c r="B57" s="6" t="s">
        <v>25</v>
      </c>
      <c r="C57" s="10" t="s">
        <v>147</v>
      </c>
      <c r="D57" s="20"/>
      <c r="E57" s="20"/>
      <c r="F57" s="6" t="s">
        <v>148</v>
      </c>
      <c r="G57" s="6" t="s">
        <v>27</v>
      </c>
      <c r="H57" s="6"/>
      <c r="I57" s="6"/>
      <c r="J57" s="98"/>
      <c r="K57" s="98"/>
      <c r="L57" s="98"/>
      <c r="M57" s="6"/>
      <c r="N57" s="6"/>
      <c r="O57" s="6"/>
      <c r="P57" s="6"/>
      <c r="Q57" s="6"/>
      <c r="R57" s="6"/>
    </row>
    <row r="58" spans="1:18" ht="16" x14ac:dyDescent="0.2">
      <c r="A58" s="6" t="s">
        <v>149</v>
      </c>
      <c r="B58" s="6" t="s">
        <v>15</v>
      </c>
      <c r="C58" s="10" t="s">
        <v>150</v>
      </c>
      <c r="D58" s="20" t="s">
        <v>151</v>
      </c>
      <c r="E58" s="20"/>
      <c r="F58" s="6" t="s">
        <v>26</v>
      </c>
      <c r="G58" s="32" t="s">
        <v>48</v>
      </c>
      <c r="H58" s="32"/>
      <c r="I58" s="32"/>
      <c r="J58" s="162"/>
      <c r="K58" s="162"/>
      <c r="L58" s="162"/>
      <c r="M58" s="32"/>
      <c r="N58" s="32"/>
      <c r="O58" s="6"/>
      <c r="P58" s="6"/>
      <c r="Q58" s="6"/>
      <c r="R58" s="6"/>
    </row>
    <row r="59" spans="1:18" ht="16" x14ac:dyDescent="0.2">
      <c r="A59" s="6" t="s">
        <v>152</v>
      </c>
      <c r="B59" s="6" t="s">
        <v>133</v>
      </c>
      <c r="C59" s="10" t="s">
        <v>153</v>
      </c>
      <c r="D59" s="20"/>
      <c r="E59" s="20"/>
      <c r="F59" s="8" t="s">
        <v>26</v>
      </c>
      <c r="G59" s="32" t="s">
        <v>27</v>
      </c>
      <c r="H59" s="32"/>
      <c r="I59" s="32"/>
      <c r="J59" s="162"/>
      <c r="K59" s="162"/>
      <c r="L59" s="162"/>
      <c r="M59" s="32"/>
      <c r="N59" s="32"/>
      <c r="O59" s="6"/>
      <c r="P59" s="6"/>
      <c r="Q59" s="6"/>
      <c r="R59" s="6"/>
    </row>
    <row r="60" spans="1:18" ht="16" x14ac:dyDescent="0.2">
      <c r="A60" s="6" t="s">
        <v>154</v>
      </c>
      <c r="B60" s="6" t="s">
        <v>15</v>
      </c>
      <c r="C60" s="10" t="s">
        <v>155</v>
      </c>
      <c r="D60" s="19"/>
      <c r="E60" s="60"/>
      <c r="F60" s="6" t="s">
        <v>26</v>
      </c>
      <c r="G60" s="6" t="s">
        <v>48</v>
      </c>
      <c r="H60" s="6"/>
      <c r="I60" s="6"/>
      <c r="J60" s="98"/>
      <c r="K60" s="98"/>
      <c r="L60" s="98"/>
      <c r="M60" s="6"/>
      <c r="N60" s="6"/>
      <c r="O60" s="6"/>
      <c r="P60" s="6"/>
      <c r="Q60" s="6"/>
      <c r="R60" s="6"/>
    </row>
    <row r="61" spans="1:18" s="26" customFormat="1" x14ac:dyDescent="0.2">
      <c r="A61" s="6" t="s">
        <v>156</v>
      </c>
      <c r="B61" s="137" t="s">
        <v>157</v>
      </c>
      <c r="C61" s="137" t="s">
        <v>158</v>
      </c>
      <c r="D61" s="19" t="s">
        <v>151</v>
      </c>
      <c r="E61" s="19"/>
      <c r="F61" s="6"/>
      <c r="G61" s="6" t="s">
        <v>27</v>
      </c>
      <c r="H61" s="6"/>
      <c r="I61" s="6"/>
      <c r="J61" s="98"/>
      <c r="K61" s="98"/>
      <c r="L61" s="98"/>
      <c r="M61" s="6"/>
      <c r="N61" s="6"/>
      <c r="O61" s="31"/>
      <c r="P61" s="31"/>
      <c r="Q61" s="31"/>
      <c r="R61" s="6"/>
    </row>
    <row r="62" spans="1:18" s="153" customFormat="1" ht="16" x14ac:dyDescent="0.2">
      <c r="A62" s="56" t="s">
        <v>159</v>
      </c>
      <c r="B62" s="56" t="s">
        <v>25</v>
      </c>
      <c r="C62" s="157" t="s">
        <v>155</v>
      </c>
      <c r="D62" s="150"/>
      <c r="E62" s="150">
        <v>46136</v>
      </c>
      <c r="F62" s="148" t="s">
        <v>148</v>
      </c>
      <c r="G62" s="148" t="s">
        <v>27</v>
      </c>
      <c r="H62" s="148"/>
      <c r="I62" s="148"/>
      <c r="J62" s="161"/>
      <c r="K62" s="161"/>
      <c r="L62" s="161"/>
      <c r="M62" s="148"/>
      <c r="N62" s="148"/>
      <c r="O62" s="148" t="s">
        <v>20</v>
      </c>
      <c r="P62" s="148" t="s">
        <v>21</v>
      </c>
      <c r="Q62" s="148" t="s">
        <v>76</v>
      </c>
      <c r="R62" s="148" t="s">
        <v>160</v>
      </c>
    </row>
    <row r="63" spans="1:18" ht="16" x14ac:dyDescent="0.2">
      <c r="A63" s="56" t="s">
        <v>161</v>
      </c>
      <c r="B63" s="56" t="s">
        <v>162</v>
      </c>
      <c r="C63" s="157" t="s">
        <v>155</v>
      </c>
      <c r="D63" s="20" t="s">
        <v>163</v>
      </c>
      <c r="E63" s="20"/>
      <c r="F63" s="6" t="s">
        <v>17</v>
      </c>
      <c r="G63" s="32" t="s">
        <v>48</v>
      </c>
      <c r="H63" s="32"/>
      <c r="I63" s="32"/>
      <c r="J63" s="162"/>
      <c r="K63" s="162"/>
      <c r="L63" s="162"/>
      <c r="M63" s="32"/>
      <c r="N63" s="32"/>
      <c r="O63" s="6" t="s">
        <v>20</v>
      </c>
      <c r="P63" s="6" t="s">
        <v>21</v>
      </c>
      <c r="Q63" s="6" t="s">
        <v>164</v>
      </c>
      <c r="R63" s="6" t="s">
        <v>57</v>
      </c>
    </row>
    <row r="64" spans="1:18" s="153" customFormat="1" ht="16" x14ac:dyDescent="0.2">
      <c r="A64" s="56" t="s">
        <v>165</v>
      </c>
      <c r="B64" s="56" t="s">
        <v>162</v>
      </c>
      <c r="C64" s="157" t="s">
        <v>166</v>
      </c>
      <c r="D64" s="150"/>
      <c r="E64" s="150"/>
      <c r="F64" s="148" t="s">
        <v>17</v>
      </c>
      <c r="G64" s="152" t="s">
        <v>48</v>
      </c>
      <c r="H64" s="152"/>
      <c r="I64" s="152"/>
      <c r="J64" s="160"/>
      <c r="K64" s="160"/>
      <c r="L64" s="160"/>
      <c r="M64" s="152"/>
      <c r="N64" s="152"/>
      <c r="O64" s="148" t="s">
        <v>20</v>
      </c>
      <c r="P64" s="148" t="s">
        <v>21</v>
      </c>
      <c r="Q64" s="148" t="s">
        <v>76</v>
      </c>
      <c r="R64" s="148" t="s">
        <v>57</v>
      </c>
    </row>
  </sheetData>
  <autoFilter ref="A45:GF45" xr:uid="{949C4E93-464A-48AA-9C93-4EF296F63F3B}">
    <sortState xmlns:xlrd2="http://schemas.microsoft.com/office/spreadsheetml/2017/richdata2" ref="A46:GF55">
      <sortCondition ref="A45"/>
    </sortState>
  </autoFilter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BC668-38A6-4929-BBDA-61389C3B8981}">
  <dimension ref="A1:Q19"/>
  <sheetViews>
    <sheetView workbookViewId="0">
      <selection activeCell="F7" sqref="F7"/>
    </sheetView>
  </sheetViews>
  <sheetFormatPr baseColWidth="10" defaultColWidth="8.83203125" defaultRowHeight="15" x14ac:dyDescent="0.2"/>
  <cols>
    <col min="1" max="1" width="40.33203125" bestFit="1" customWidth="1"/>
    <col min="2" max="3" width="11.83203125" style="2" bestFit="1" customWidth="1"/>
    <col min="4" max="4" width="13.33203125" bestFit="1" customWidth="1"/>
    <col min="5" max="5" width="14.83203125" bestFit="1" customWidth="1"/>
    <col min="6" max="6" width="18" bestFit="1" customWidth="1"/>
    <col min="7" max="7" width="15.83203125" bestFit="1" customWidth="1"/>
    <col min="8" max="8" width="101.33203125" bestFit="1" customWidth="1"/>
    <col min="9" max="9" width="24" style="3" customWidth="1"/>
    <col min="10" max="10" width="9.83203125" bestFit="1" customWidth="1"/>
    <col min="11" max="11" width="14.83203125" bestFit="1" customWidth="1"/>
    <col min="12" max="12" width="8.83203125" bestFit="1" customWidth="1"/>
    <col min="13" max="13" width="15.33203125" bestFit="1" customWidth="1"/>
    <col min="14" max="14" width="22.33203125" bestFit="1" customWidth="1"/>
    <col min="15" max="15" width="20" bestFit="1" customWidth="1"/>
  </cols>
  <sheetData>
    <row r="1" spans="1:17" s="1" customFormat="1" ht="16" x14ac:dyDescent="0.2">
      <c r="A1" s="5" t="s">
        <v>117</v>
      </c>
      <c r="B1" s="12" t="s">
        <v>167</v>
      </c>
      <c r="C1" s="12" t="s">
        <v>168</v>
      </c>
      <c r="D1" s="5" t="s">
        <v>169</v>
      </c>
      <c r="E1" s="5" t="s">
        <v>170</v>
      </c>
      <c r="F1" s="5" t="s">
        <v>171</v>
      </c>
      <c r="G1" s="5" t="s">
        <v>172</v>
      </c>
      <c r="H1" s="5" t="s">
        <v>2</v>
      </c>
      <c r="I1" s="13" t="s">
        <v>173</v>
      </c>
      <c r="J1" s="5" t="s">
        <v>174</v>
      </c>
      <c r="K1" s="5" t="s">
        <v>175</v>
      </c>
      <c r="L1" s="5" t="s">
        <v>176</v>
      </c>
      <c r="M1" s="5" t="s">
        <v>177</v>
      </c>
      <c r="N1" s="5" t="s">
        <v>178</v>
      </c>
      <c r="O1" s="5" t="s">
        <v>179</v>
      </c>
      <c r="P1" s="5"/>
      <c r="Q1" s="5"/>
    </row>
    <row r="2" spans="1:17" ht="16" x14ac:dyDescent="0.2">
      <c r="A2" s="11" t="s">
        <v>180</v>
      </c>
      <c r="B2" s="14" t="s">
        <v>181</v>
      </c>
      <c r="C2" s="14" t="s">
        <v>182</v>
      </c>
      <c r="D2" s="11"/>
      <c r="E2" s="11"/>
      <c r="F2" s="11" t="s">
        <v>15</v>
      </c>
      <c r="G2" s="11" t="s">
        <v>183</v>
      </c>
      <c r="H2" s="11" t="s">
        <v>184</v>
      </c>
      <c r="I2" s="15" t="s">
        <v>185</v>
      </c>
      <c r="J2" s="11" t="s">
        <v>186</v>
      </c>
      <c r="K2" s="11" t="s">
        <v>186</v>
      </c>
      <c r="L2" s="11"/>
      <c r="M2" s="11"/>
      <c r="N2" s="11" t="s">
        <v>186</v>
      </c>
      <c r="O2" s="11" t="s">
        <v>186</v>
      </c>
      <c r="P2" s="11"/>
      <c r="Q2" s="11"/>
    </row>
    <row r="3" spans="1:17" ht="32" x14ac:dyDescent="0.2">
      <c r="A3" s="11" t="s">
        <v>187</v>
      </c>
      <c r="B3" s="14" t="s">
        <v>188</v>
      </c>
      <c r="C3" s="14" t="s">
        <v>189</v>
      </c>
      <c r="D3" s="11"/>
      <c r="E3" s="11"/>
      <c r="F3" s="11" t="s">
        <v>190</v>
      </c>
      <c r="G3" s="11" t="s">
        <v>183</v>
      </c>
      <c r="H3" s="11" t="s">
        <v>191</v>
      </c>
      <c r="I3" s="15" t="s">
        <v>192</v>
      </c>
      <c r="J3" s="11"/>
      <c r="K3" s="16" t="s">
        <v>193</v>
      </c>
      <c r="L3" s="11"/>
      <c r="M3" s="11"/>
      <c r="N3" s="11" t="s">
        <v>186</v>
      </c>
      <c r="O3" s="11"/>
      <c r="P3" s="11"/>
      <c r="Q3" s="11"/>
    </row>
    <row r="4" spans="1:17" ht="32" x14ac:dyDescent="0.2">
      <c r="A4" s="11" t="s">
        <v>194</v>
      </c>
      <c r="B4" s="14" t="s">
        <v>195</v>
      </c>
      <c r="C4" s="14" t="s">
        <v>196</v>
      </c>
      <c r="D4" s="11"/>
      <c r="E4" s="11"/>
      <c r="F4" s="11" t="s">
        <v>197</v>
      </c>
      <c r="G4" s="11" t="s">
        <v>183</v>
      </c>
      <c r="H4" s="11" t="s">
        <v>198</v>
      </c>
      <c r="I4" s="15" t="s">
        <v>199</v>
      </c>
      <c r="J4" s="11" t="s">
        <v>186</v>
      </c>
      <c r="K4" s="11" t="s">
        <v>186</v>
      </c>
      <c r="L4" s="11"/>
      <c r="M4" s="11"/>
      <c r="N4" s="11"/>
      <c r="O4" s="11"/>
      <c r="P4" s="11"/>
      <c r="Q4" s="11"/>
    </row>
    <row r="5" spans="1:17" x14ac:dyDescent="0.2">
      <c r="A5" s="11" t="s">
        <v>200</v>
      </c>
      <c r="B5" s="14" t="s">
        <v>201</v>
      </c>
      <c r="C5" s="14" t="s">
        <v>202</v>
      </c>
      <c r="D5" s="11"/>
      <c r="E5" s="11"/>
      <c r="F5" s="11" t="s">
        <v>203</v>
      </c>
      <c r="G5" s="11" t="s">
        <v>183</v>
      </c>
      <c r="H5" s="11" t="s">
        <v>204</v>
      </c>
      <c r="I5" s="15"/>
      <c r="J5" s="11"/>
      <c r="K5" s="11"/>
      <c r="L5" s="11"/>
      <c r="M5" s="11"/>
      <c r="N5" s="11"/>
      <c r="O5" s="11"/>
      <c r="P5" s="11"/>
      <c r="Q5" s="11"/>
    </row>
    <row r="7" spans="1:17" x14ac:dyDescent="0.2">
      <c r="A7" s="11" t="s">
        <v>205</v>
      </c>
      <c r="B7" s="14" t="s">
        <v>206</v>
      </c>
      <c r="C7" s="14" t="s">
        <v>207</v>
      </c>
      <c r="D7" s="11"/>
      <c r="E7" s="11"/>
      <c r="F7" s="11" t="s">
        <v>15</v>
      </c>
      <c r="G7" s="11" t="s">
        <v>183</v>
      </c>
      <c r="H7" s="11" t="s">
        <v>208</v>
      </c>
      <c r="I7" s="15"/>
      <c r="J7" s="11" t="s">
        <v>186</v>
      </c>
      <c r="K7" s="11" t="s">
        <v>186</v>
      </c>
      <c r="L7" s="11"/>
      <c r="M7" s="11"/>
      <c r="N7" s="11" t="s">
        <v>186</v>
      </c>
      <c r="O7" s="11"/>
      <c r="P7" s="11"/>
      <c r="Q7" s="11"/>
    </row>
    <row r="8" spans="1:17" ht="16" x14ac:dyDescent="0.2">
      <c r="A8" s="11" t="s">
        <v>209</v>
      </c>
      <c r="B8" s="14" t="s">
        <v>210</v>
      </c>
      <c r="C8" s="14">
        <v>44871</v>
      </c>
      <c r="D8" s="11"/>
      <c r="E8" s="11"/>
      <c r="F8" s="11" t="s">
        <v>211</v>
      </c>
      <c r="G8" s="11" t="s">
        <v>183</v>
      </c>
      <c r="H8" s="11" t="s">
        <v>212</v>
      </c>
      <c r="I8" s="15" t="s">
        <v>213</v>
      </c>
      <c r="J8" s="11"/>
      <c r="K8" s="11"/>
      <c r="L8" s="11"/>
      <c r="M8" s="11"/>
      <c r="N8" s="11"/>
      <c r="O8" s="11"/>
      <c r="P8" s="11"/>
      <c r="Q8" s="11"/>
    </row>
    <row r="10" spans="1:17" ht="16" x14ac:dyDescent="0.2">
      <c r="A10" s="11" t="s">
        <v>214</v>
      </c>
      <c r="B10" s="14" t="s">
        <v>215</v>
      </c>
      <c r="C10" s="14">
        <v>44875</v>
      </c>
      <c r="D10" s="11">
        <v>44866</v>
      </c>
      <c r="E10" s="11">
        <v>44875</v>
      </c>
      <c r="F10" s="11" t="s">
        <v>216</v>
      </c>
      <c r="G10" s="11" t="s">
        <v>183</v>
      </c>
      <c r="H10" s="11" t="s">
        <v>217</v>
      </c>
      <c r="I10" s="15" t="s">
        <v>218</v>
      </c>
      <c r="J10" s="11"/>
      <c r="K10" s="11"/>
      <c r="L10" s="11"/>
      <c r="M10" s="11"/>
      <c r="N10" s="11"/>
      <c r="O10" s="11"/>
      <c r="P10" s="11"/>
      <c r="Q10" s="11"/>
    </row>
    <row r="11" spans="1:17" ht="16" x14ac:dyDescent="0.2">
      <c r="A11" s="6" t="s">
        <v>219</v>
      </c>
      <c r="B11" s="6" t="s">
        <v>215</v>
      </c>
      <c r="C11" s="7" t="s">
        <v>220</v>
      </c>
      <c r="D11" s="6"/>
      <c r="E11" s="6"/>
      <c r="F11" s="10" t="s">
        <v>221</v>
      </c>
      <c r="G11" s="6" t="s">
        <v>222</v>
      </c>
      <c r="H11" s="10" t="s">
        <v>223</v>
      </c>
      <c r="I11" s="6"/>
      <c r="J11" s="6"/>
      <c r="K11" s="6"/>
      <c r="L11" s="6"/>
      <c r="M11" s="6"/>
      <c r="N11" s="6"/>
      <c r="O11" s="11"/>
      <c r="P11" s="11"/>
      <c r="Q11" s="11"/>
    </row>
    <row r="12" spans="1:17" s="4" customFormat="1" x14ac:dyDescent="0.2">
      <c r="A12" s="6" t="s">
        <v>224</v>
      </c>
      <c r="B12" s="6" t="s">
        <v>225</v>
      </c>
      <c r="C12" s="9">
        <v>44880</v>
      </c>
      <c r="D12" s="6"/>
      <c r="E12" s="6"/>
      <c r="F12" s="6" t="s">
        <v>226</v>
      </c>
      <c r="G12" s="6" t="s">
        <v>227</v>
      </c>
      <c r="H12" s="6" t="s">
        <v>228</v>
      </c>
      <c r="I12" s="6"/>
      <c r="J12" s="6"/>
      <c r="K12" s="6"/>
      <c r="L12" s="6"/>
      <c r="M12" s="6"/>
      <c r="N12" s="6"/>
      <c r="O12" s="17"/>
      <c r="P12" s="17"/>
      <c r="Q12" s="17"/>
    </row>
    <row r="14" spans="1:17" x14ac:dyDescent="0.2">
      <c r="A14" s="6" t="s">
        <v>229</v>
      </c>
      <c r="B14" s="6" t="s">
        <v>230</v>
      </c>
      <c r="C14" s="7" t="s">
        <v>195</v>
      </c>
      <c r="D14" s="6"/>
      <c r="E14" s="6"/>
      <c r="F14" s="6" t="s">
        <v>203</v>
      </c>
      <c r="G14" s="6" t="s">
        <v>28</v>
      </c>
      <c r="H14" s="6" t="s">
        <v>231</v>
      </c>
      <c r="I14" s="6"/>
      <c r="J14" s="6"/>
    </row>
    <row r="15" spans="1:17" x14ac:dyDescent="0.2">
      <c r="A15" s="6" t="s">
        <v>232</v>
      </c>
      <c r="B15" s="6" t="s">
        <v>233</v>
      </c>
      <c r="C15" s="7" t="s">
        <v>234</v>
      </c>
      <c r="D15" s="6"/>
      <c r="E15" s="6"/>
      <c r="F15" s="6" t="s">
        <v>25</v>
      </c>
      <c r="G15" s="6" t="s">
        <v>235</v>
      </c>
      <c r="H15" s="6" t="s">
        <v>236</v>
      </c>
      <c r="I15" s="10"/>
      <c r="J15" s="6" t="s">
        <v>237</v>
      </c>
    </row>
    <row r="16" spans="1:17" x14ac:dyDescent="0.2">
      <c r="A16" s="11" t="s">
        <v>238</v>
      </c>
      <c r="B16" s="11"/>
      <c r="C16" s="11"/>
      <c r="D16" s="11"/>
      <c r="E16" s="11"/>
      <c r="F16" s="11" t="s">
        <v>203</v>
      </c>
      <c r="G16" s="11"/>
      <c r="H16" s="11"/>
      <c r="I16" s="11" t="s">
        <v>239</v>
      </c>
      <c r="J16" s="11"/>
      <c r="K16" s="11"/>
    </row>
    <row r="17" spans="1:15" x14ac:dyDescent="0.2">
      <c r="A17" s="11" t="s">
        <v>240</v>
      </c>
      <c r="B17" s="18">
        <v>44858</v>
      </c>
      <c r="C17" s="18"/>
      <c r="D17" s="18"/>
      <c r="E17" s="11"/>
      <c r="F17" s="11" t="s">
        <v>241</v>
      </c>
      <c r="G17" s="11" t="s">
        <v>155</v>
      </c>
      <c r="H17" s="11"/>
      <c r="I17" s="11" t="s">
        <v>242</v>
      </c>
      <c r="J17" s="11"/>
      <c r="K17" s="11"/>
    </row>
    <row r="18" spans="1:15" x14ac:dyDescent="0.2">
      <c r="A18" s="11" t="s">
        <v>243</v>
      </c>
      <c r="B18" s="11"/>
      <c r="C18" s="11"/>
      <c r="D18" s="11"/>
      <c r="E18" s="11"/>
      <c r="F18" s="11" t="s">
        <v>244</v>
      </c>
      <c r="G18" s="11"/>
      <c r="H18" s="11"/>
      <c r="I18" s="11"/>
      <c r="J18" s="11"/>
      <c r="K18" s="11" t="s">
        <v>245</v>
      </c>
      <c r="L18" s="11"/>
      <c r="M18" s="11"/>
    </row>
    <row r="19" spans="1:15" x14ac:dyDescent="0.2">
      <c r="A19" s="11" t="s">
        <v>246</v>
      </c>
      <c r="B19" s="8">
        <v>44956</v>
      </c>
      <c r="C19" s="8"/>
      <c r="D19" s="8">
        <v>44986</v>
      </c>
      <c r="E19" s="6"/>
      <c r="F19" s="6" t="s">
        <v>15</v>
      </c>
      <c r="G19" s="6"/>
      <c r="H19" s="6"/>
      <c r="I19" s="6"/>
      <c r="J19" s="6"/>
      <c r="K19" s="6"/>
      <c r="L19" s="6"/>
      <c r="M19" s="6" t="s">
        <v>247</v>
      </c>
      <c r="N19" s="6"/>
      <c r="O19" s="6"/>
    </row>
  </sheetData>
  <autoFilter ref="A1:ET1" xr:uid="{CDABC668-38A6-4929-BBDA-61389C3B8981}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C01EC-190A-41DA-823A-874D6F25752D}">
  <dimension ref="A1:Q18"/>
  <sheetViews>
    <sheetView workbookViewId="0">
      <selection activeCell="A16" sqref="A16:XFD16"/>
    </sheetView>
  </sheetViews>
  <sheetFormatPr baseColWidth="10" defaultColWidth="8.83203125" defaultRowHeight="15" x14ac:dyDescent="0.2"/>
  <cols>
    <col min="1" max="1" width="30.33203125" bestFit="1" customWidth="1"/>
    <col min="2" max="3" width="11.83203125" bestFit="1" customWidth="1"/>
    <col min="4" max="4" width="10.33203125" bestFit="1" customWidth="1"/>
    <col min="5" max="5" width="11.33203125" bestFit="1" customWidth="1"/>
    <col min="6" max="6" width="14.33203125" bestFit="1" customWidth="1"/>
    <col min="7" max="7" width="8.33203125" bestFit="1" customWidth="1"/>
    <col min="8" max="8" width="27.33203125" bestFit="1" customWidth="1"/>
  </cols>
  <sheetData>
    <row r="1" spans="1:17" x14ac:dyDescent="0.2">
      <c r="A1" t="s">
        <v>117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2</v>
      </c>
    </row>
    <row r="2" spans="1:17" x14ac:dyDescent="0.2">
      <c r="A2" t="s">
        <v>248</v>
      </c>
      <c r="B2" t="s">
        <v>249</v>
      </c>
      <c r="C2" t="s">
        <v>250</v>
      </c>
      <c r="F2" t="s">
        <v>190</v>
      </c>
      <c r="G2" t="s">
        <v>251</v>
      </c>
    </row>
    <row r="3" spans="1:17" x14ac:dyDescent="0.2">
      <c r="A3" t="s">
        <v>252</v>
      </c>
      <c r="B3" t="s">
        <v>253</v>
      </c>
      <c r="C3" t="s">
        <v>254</v>
      </c>
      <c r="F3" t="s">
        <v>211</v>
      </c>
      <c r="G3" t="s">
        <v>251</v>
      </c>
    </row>
    <row r="4" spans="1:17" x14ac:dyDescent="0.2">
      <c r="A4" t="s">
        <v>255</v>
      </c>
      <c r="B4" t="s">
        <v>256</v>
      </c>
      <c r="C4" t="s">
        <v>257</v>
      </c>
      <c r="F4" t="s">
        <v>25</v>
      </c>
      <c r="G4" t="s">
        <v>251</v>
      </c>
      <c r="H4" t="s">
        <v>251</v>
      </c>
    </row>
    <row r="5" spans="1:17" x14ac:dyDescent="0.2">
      <c r="A5" t="s">
        <v>258</v>
      </c>
      <c r="B5" t="s">
        <v>259</v>
      </c>
      <c r="C5" t="s">
        <v>260</v>
      </c>
      <c r="F5" t="s">
        <v>25</v>
      </c>
      <c r="G5" t="s">
        <v>251</v>
      </c>
      <c r="H5" t="s">
        <v>261</v>
      </c>
    </row>
    <row r="6" spans="1:17" x14ac:dyDescent="0.2">
      <c r="A6" t="s">
        <v>262</v>
      </c>
      <c r="B6" t="s">
        <v>263</v>
      </c>
      <c r="C6" t="s">
        <v>215</v>
      </c>
      <c r="F6" t="s">
        <v>25</v>
      </c>
      <c r="G6" t="s">
        <v>251</v>
      </c>
    </row>
    <row r="7" spans="1:17" x14ac:dyDescent="0.2">
      <c r="A7" t="s">
        <v>264</v>
      </c>
      <c r="B7" t="s">
        <v>265</v>
      </c>
      <c r="C7" t="s">
        <v>266</v>
      </c>
      <c r="F7" t="s">
        <v>25</v>
      </c>
      <c r="G7" t="s">
        <v>251</v>
      </c>
    </row>
    <row r="8" spans="1:17" x14ac:dyDescent="0.2">
      <c r="A8" t="s">
        <v>267</v>
      </c>
      <c r="B8" t="s">
        <v>268</v>
      </c>
      <c r="C8" t="s">
        <v>269</v>
      </c>
      <c r="F8" t="s">
        <v>203</v>
      </c>
      <c r="G8" t="s">
        <v>251</v>
      </c>
      <c r="H8" t="s">
        <v>251</v>
      </c>
    </row>
    <row r="9" spans="1:17" s="4" customFormat="1" ht="16" x14ac:dyDescent="0.2">
      <c r="A9" s="6" t="s">
        <v>270</v>
      </c>
      <c r="B9" s="6" t="s">
        <v>271</v>
      </c>
      <c r="C9" s="9">
        <v>44896</v>
      </c>
      <c r="D9" s="6"/>
      <c r="E9" s="6"/>
      <c r="F9" s="6" t="s">
        <v>272</v>
      </c>
      <c r="G9" s="6" t="s">
        <v>227</v>
      </c>
      <c r="H9" s="10" t="s">
        <v>273</v>
      </c>
      <c r="I9" s="6" t="s">
        <v>273</v>
      </c>
      <c r="J9" s="6"/>
      <c r="K9" s="6"/>
      <c r="L9" s="6"/>
      <c r="M9" s="6"/>
      <c r="N9" s="6"/>
      <c r="O9" s="17"/>
      <c r="P9" s="17"/>
      <c r="Q9" s="17"/>
    </row>
    <row r="10" spans="1:17" x14ac:dyDescent="0.2">
      <c r="A10" s="6" t="s">
        <v>274</v>
      </c>
      <c r="B10" s="8">
        <v>44896</v>
      </c>
      <c r="C10" s="9">
        <v>44926</v>
      </c>
      <c r="D10" s="6"/>
      <c r="E10" s="6"/>
      <c r="F10" s="6"/>
      <c r="G10" s="6"/>
      <c r="H10" s="6" t="s">
        <v>275</v>
      </c>
      <c r="I10" s="6"/>
      <c r="J10" s="6"/>
    </row>
    <row r="11" spans="1:17" x14ac:dyDescent="0.2">
      <c r="A11" s="6" t="s">
        <v>276</v>
      </c>
      <c r="B11" s="6" t="s">
        <v>277</v>
      </c>
      <c r="C11" s="7" t="s">
        <v>45</v>
      </c>
      <c r="D11" s="6"/>
      <c r="E11" s="6"/>
      <c r="F11" s="6" t="s">
        <v>278</v>
      </c>
      <c r="G11" s="6" t="s">
        <v>222</v>
      </c>
      <c r="H11" s="6" t="s">
        <v>279</v>
      </c>
      <c r="I11" s="6"/>
      <c r="J11" s="6"/>
    </row>
    <row r="12" spans="1:17" ht="16" x14ac:dyDescent="0.2">
      <c r="A12" s="11" t="s">
        <v>280</v>
      </c>
      <c r="B12" s="14" t="s">
        <v>281</v>
      </c>
      <c r="C12" s="14" t="s">
        <v>282</v>
      </c>
      <c r="D12" s="11"/>
      <c r="E12" s="11"/>
      <c r="F12" s="11" t="s">
        <v>15</v>
      </c>
      <c r="G12" s="11" t="s">
        <v>183</v>
      </c>
      <c r="H12" s="11" t="s">
        <v>283</v>
      </c>
      <c r="I12" s="15" t="s">
        <v>186</v>
      </c>
      <c r="J12" s="11" t="s">
        <v>186</v>
      </c>
      <c r="K12" s="11" t="s">
        <v>186</v>
      </c>
      <c r="L12" s="11" t="s">
        <v>186</v>
      </c>
      <c r="M12" s="11"/>
      <c r="N12" s="11" t="s">
        <v>186</v>
      </c>
      <c r="O12" s="11"/>
      <c r="P12" s="11"/>
      <c r="Q12" s="11"/>
    </row>
    <row r="13" spans="1:17" x14ac:dyDescent="0.2">
      <c r="A13" s="6" t="s">
        <v>284</v>
      </c>
      <c r="B13" s="6" t="s">
        <v>285</v>
      </c>
      <c r="C13" s="9">
        <v>44872</v>
      </c>
      <c r="D13" s="8">
        <v>44866</v>
      </c>
      <c r="E13" s="8">
        <v>44880</v>
      </c>
      <c r="F13" s="6" t="s">
        <v>25</v>
      </c>
      <c r="G13" s="6" t="s">
        <v>28</v>
      </c>
      <c r="H13" s="6" t="s">
        <v>286</v>
      </c>
      <c r="I13" s="6"/>
      <c r="J13" s="6"/>
    </row>
    <row r="14" spans="1:17" x14ac:dyDescent="0.2">
      <c r="A14" s="6" t="s">
        <v>287</v>
      </c>
      <c r="B14" s="6" t="s">
        <v>196</v>
      </c>
      <c r="C14" s="9">
        <v>44935</v>
      </c>
      <c r="D14" s="6"/>
      <c r="E14" s="6"/>
      <c r="F14" s="6" t="s">
        <v>203</v>
      </c>
      <c r="G14" s="6" t="s">
        <v>28</v>
      </c>
      <c r="H14" s="6" t="s">
        <v>288</v>
      </c>
      <c r="I14" s="6"/>
      <c r="J14" s="6"/>
    </row>
    <row r="15" spans="1:17" ht="80" x14ac:dyDescent="0.2">
      <c r="A15" s="6" t="s">
        <v>219</v>
      </c>
      <c r="B15" s="6"/>
      <c r="C15" s="7"/>
      <c r="D15" s="6"/>
      <c r="E15" s="6" t="s">
        <v>25</v>
      </c>
      <c r="F15" s="10"/>
      <c r="G15" s="6"/>
      <c r="H15" s="10"/>
      <c r="I15" s="6"/>
      <c r="J15" s="6"/>
      <c r="K15" s="6"/>
      <c r="L15" s="6"/>
      <c r="M15" s="6"/>
      <c r="N15" s="6"/>
      <c r="O15" s="10" t="s">
        <v>223</v>
      </c>
      <c r="P15" s="11"/>
      <c r="Q15" s="11"/>
    </row>
    <row r="16" spans="1:17" x14ac:dyDescent="0.2">
      <c r="A16" s="11" t="s">
        <v>205</v>
      </c>
      <c r="B16" s="14"/>
      <c r="C16" s="14"/>
      <c r="D16" s="11"/>
      <c r="E16" s="11" t="s">
        <v>133</v>
      </c>
      <c r="F16" s="11"/>
      <c r="G16" s="11"/>
      <c r="H16" s="11"/>
      <c r="I16" s="11"/>
      <c r="J16" s="11"/>
      <c r="K16" s="11"/>
      <c r="L16" s="11"/>
      <c r="M16" s="11"/>
      <c r="N16" s="11" t="s">
        <v>186</v>
      </c>
      <c r="O16" s="11" t="s">
        <v>208</v>
      </c>
      <c r="P16" s="11"/>
      <c r="Q16" s="11"/>
    </row>
    <row r="18" spans="1:15" x14ac:dyDescent="0.2">
      <c r="A18" s="11" t="s">
        <v>243</v>
      </c>
      <c r="B18" s="11"/>
      <c r="C18" s="11"/>
      <c r="D18" s="11"/>
      <c r="E18" s="11" t="s">
        <v>278</v>
      </c>
      <c r="F18" s="11"/>
      <c r="G18" s="11"/>
      <c r="H18" s="11"/>
      <c r="I18" s="11"/>
      <c r="J18" s="11"/>
      <c r="K18" s="11"/>
      <c r="L18" s="11"/>
      <c r="M18" s="22"/>
      <c r="N18" s="11"/>
      <c r="O18" s="6" t="s">
        <v>289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3EEDB-9F35-414A-85E1-76D1EB635F73}">
  <dimension ref="A1:AX65"/>
  <sheetViews>
    <sheetView tabSelected="1" zoomScale="118" zoomScaleNormal="90" workbookViewId="0">
      <pane xSplit="1" topLeftCell="B1" activePane="topRight" state="frozen"/>
      <selection pane="topRight" activeCell="F4" sqref="F4:F25"/>
    </sheetView>
  </sheetViews>
  <sheetFormatPr baseColWidth="10" defaultColWidth="8.83203125" defaultRowHeight="15" x14ac:dyDescent="0.2"/>
  <cols>
    <col min="1" max="1" width="57.33203125" customWidth="1"/>
    <col min="2" max="2" width="14.33203125" style="81" customWidth="1"/>
    <col min="3" max="3" width="15.33203125" style="79" customWidth="1"/>
    <col min="4" max="4" width="10.83203125" style="75" customWidth="1"/>
    <col min="5" max="5" width="15.33203125" customWidth="1"/>
    <col min="6" max="6" width="14" style="80" customWidth="1"/>
    <col min="7" max="7" width="7.33203125" customWidth="1"/>
    <col min="8" max="17" width="7.83203125" bestFit="1" customWidth="1"/>
    <col min="18" max="18" width="10" bestFit="1" customWidth="1"/>
    <col min="19" max="50" width="7.83203125" bestFit="1" customWidth="1"/>
  </cols>
  <sheetData>
    <row r="1" spans="1:50" ht="16" thickBot="1" x14ac:dyDescent="0.25">
      <c r="B1" s="79" t="s">
        <v>290</v>
      </c>
      <c r="C1" s="79" t="s">
        <v>291</v>
      </c>
      <c r="D1" s="75" t="s">
        <v>292</v>
      </c>
      <c r="G1" s="201" t="s">
        <v>293</v>
      </c>
      <c r="H1" s="202"/>
      <c r="I1" s="202"/>
      <c r="J1" s="202"/>
      <c r="K1" s="201" t="s">
        <v>294</v>
      </c>
      <c r="L1" s="202"/>
      <c r="M1" s="202"/>
      <c r="N1" s="202"/>
      <c r="O1" s="201" t="s">
        <v>295</v>
      </c>
      <c r="P1" s="202"/>
      <c r="Q1" s="202"/>
      <c r="R1" s="202"/>
      <c r="S1" s="201" t="s">
        <v>296</v>
      </c>
      <c r="T1" s="202"/>
      <c r="U1" s="202"/>
      <c r="V1" s="202"/>
      <c r="W1" s="201" t="s">
        <v>297</v>
      </c>
      <c r="X1" s="202"/>
      <c r="Y1" s="202"/>
      <c r="Z1" s="202"/>
      <c r="AA1" s="201" t="s">
        <v>123</v>
      </c>
      <c r="AB1" s="202"/>
      <c r="AC1" s="202"/>
      <c r="AD1" s="202"/>
      <c r="AE1" s="201" t="s">
        <v>298</v>
      </c>
      <c r="AF1" s="202"/>
      <c r="AG1" s="202"/>
      <c r="AH1" s="202"/>
      <c r="AI1" s="201" t="s">
        <v>299</v>
      </c>
      <c r="AJ1" s="202"/>
      <c r="AK1" s="202"/>
      <c r="AL1" s="202"/>
      <c r="AM1" s="201" t="s">
        <v>300</v>
      </c>
      <c r="AN1" s="202"/>
      <c r="AO1" s="202"/>
      <c r="AP1" s="202"/>
      <c r="AQ1" s="201" t="s">
        <v>301</v>
      </c>
      <c r="AR1" s="202"/>
      <c r="AS1" s="202"/>
      <c r="AT1" s="202"/>
      <c r="AU1" s="201" t="s">
        <v>302</v>
      </c>
      <c r="AV1" s="202"/>
      <c r="AW1" s="202"/>
      <c r="AX1" s="202"/>
    </row>
    <row r="2" spans="1:50" x14ac:dyDescent="0.2">
      <c r="A2" t="s">
        <v>303</v>
      </c>
      <c r="E2" t="s">
        <v>304</v>
      </c>
      <c r="F2" s="80" t="s">
        <v>305</v>
      </c>
      <c r="G2" s="82" t="s">
        <v>306</v>
      </c>
      <c r="H2" s="82" t="s">
        <v>307</v>
      </c>
      <c r="I2" s="82" t="s">
        <v>308</v>
      </c>
      <c r="J2" s="82" t="s">
        <v>309</v>
      </c>
      <c r="K2" s="82" t="s">
        <v>306</v>
      </c>
      <c r="L2" s="82" t="s">
        <v>307</v>
      </c>
      <c r="M2" s="82" t="s">
        <v>308</v>
      </c>
      <c r="N2" s="82" t="s">
        <v>309</v>
      </c>
      <c r="O2" s="82" t="s">
        <v>306</v>
      </c>
      <c r="P2" s="82" t="s">
        <v>307</v>
      </c>
      <c r="Q2" s="82" t="s">
        <v>308</v>
      </c>
      <c r="R2" s="82" t="s">
        <v>309</v>
      </c>
      <c r="S2" s="82" t="s">
        <v>306</v>
      </c>
      <c r="T2" s="82" t="s">
        <v>307</v>
      </c>
      <c r="U2" s="82" t="s">
        <v>308</v>
      </c>
      <c r="V2" s="82" t="s">
        <v>309</v>
      </c>
      <c r="W2" s="82" t="s">
        <v>306</v>
      </c>
      <c r="X2" s="82" t="s">
        <v>307</v>
      </c>
      <c r="Y2" s="82" t="s">
        <v>308</v>
      </c>
      <c r="Z2" s="82" t="s">
        <v>309</v>
      </c>
      <c r="AA2" s="82" t="s">
        <v>306</v>
      </c>
      <c r="AB2" s="82" t="s">
        <v>307</v>
      </c>
      <c r="AC2" s="82" t="s">
        <v>308</v>
      </c>
      <c r="AD2" s="82" t="s">
        <v>309</v>
      </c>
      <c r="AE2" s="82" t="s">
        <v>306</v>
      </c>
      <c r="AF2" s="82" t="s">
        <v>307</v>
      </c>
      <c r="AG2" s="82" t="s">
        <v>308</v>
      </c>
      <c r="AH2" s="82" t="s">
        <v>309</v>
      </c>
      <c r="AI2" s="82" t="s">
        <v>306</v>
      </c>
      <c r="AJ2" s="82" t="s">
        <v>307</v>
      </c>
      <c r="AK2" s="82" t="s">
        <v>308</v>
      </c>
      <c r="AL2" s="82" t="s">
        <v>309</v>
      </c>
      <c r="AM2" s="82" t="s">
        <v>306</v>
      </c>
      <c r="AN2" s="82" t="s">
        <v>307</v>
      </c>
      <c r="AO2" s="82" t="s">
        <v>308</v>
      </c>
      <c r="AP2" s="82" t="s">
        <v>309</v>
      </c>
      <c r="AQ2" s="82" t="s">
        <v>306</v>
      </c>
      <c r="AR2" s="82" t="s">
        <v>307</v>
      </c>
      <c r="AS2" s="82" t="s">
        <v>308</v>
      </c>
      <c r="AT2" s="82" t="s">
        <v>309</v>
      </c>
      <c r="AU2" s="82" t="s">
        <v>306</v>
      </c>
      <c r="AV2" s="82" t="s">
        <v>307</v>
      </c>
      <c r="AW2" s="82" t="s">
        <v>308</v>
      </c>
      <c r="AX2" s="82" t="s">
        <v>309</v>
      </c>
    </row>
    <row r="3" spans="1:50" x14ac:dyDescent="0.2"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3"/>
      <c r="T3" s="84"/>
      <c r="U3" s="84"/>
      <c r="V3" s="85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5"/>
      <c r="AU3" s="82"/>
      <c r="AV3" s="82"/>
      <c r="AW3" s="82"/>
      <c r="AX3" s="82"/>
    </row>
    <row r="4" spans="1:50" x14ac:dyDescent="0.2">
      <c r="A4" s="62" t="s">
        <v>310</v>
      </c>
      <c r="B4" s="86">
        <v>5101000</v>
      </c>
      <c r="C4" s="87">
        <v>719000</v>
      </c>
      <c r="D4" s="136"/>
      <c r="E4" s="143" t="s">
        <v>17</v>
      </c>
      <c r="F4" s="68"/>
      <c r="G4" s="6"/>
      <c r="H4" s="6"/>
      <c r="I4" s="6"/>
      <c r="J4" s="6"/>
      <c r="K4" s="6"/>
      <c r="L4" s="6"/>
      <c r="M4" s="6"/>
      <c r="N4" s="6"/>
      <c r="O4" s="193" t="s">
        <v>311</v>
      </c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5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91"/>
      <c r="AU4" s="6"/>
      <c r="AV4" s="6"/>
      <c r="AW4" s="6"/>
      <c r="AX4" s="6"/>
    </row>
    <row r="5" spans="1:50" x14ac:dyDescent="0.2">
      <c r="A5" s="6" t="s">
        <v>312</v>
      </c>
      <c r="B5" s="92">
        <v>677795.64</v>
      </c>
      <c r="C5" s="93">
        <v>135559.13</v>
      </c>
      <c r="D5" s="70"/>
      <c r="E5" s="17" t="s">
        <v>26</v>
      </c>
      <c r="F5" s="8"/>
      <c r="G5" s="6"/>
      <c r="H5" s="6"/>
      <c r="I5" s="6"/>
      <c r="J5" s="6"/>
      <c r="K5" s="6"/>
      <c r="L5" s="6"/>
      <c r="M5" s="193" t="s">
        <v>313</v>
      </c>
      <c r="N5" s="194"/>
      <c r="O5" s="194"/>
      <c r="P5" s="194"/>
      <c r="Q5" s="194"/>
      <c r="R5" s="195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91"/>
      <c r="AU5" s="6"/>
      <c r="AV5" s="6"/>
      <c r="AW5" s="6"/>
      <c r="AX5" s="6"/>
    </row>
    <row r="6" spans="1:50" x14ac:dyDescent="0.2">
      <c r="A6" s="6" t="s">
        <v>314</v>
      </c>
      <c r="B6" s="86">
        <v>10000000</v>
      </c>
      <c r="C6" s="87">
        <v>1000000</v>
      </c>
      <c r="D6" s="77"/>
      <c r="E6" s="142" t="s">
        <v>315</v>
      </c>
      <c r="F6" s="9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03" t="s">
        <v>37</v>
      </c>
      <c r="X6" s="204"/>
      <c r="Y6" s="204"/>
      <c r="Z6" s="204"/>
      <c r="AA6" s="204"/>
      <c r="AB6" s="204"/>
      <c r="AC6" s="204"/>
      <c r="AD6" s="204"/>
      <c r="AE6" s="204"/>
      <c r="AF6" s="204"/>
      <c r="AG6" s="204"/>
      <c r="AH6" s="204"/>
      <c r="AI6" s="204"/>
      <c r="AJ6" s="204"/>
      <c r="AK6" s="205"/>
      <c r="AL6" s="6"/>
      <c r="AM6" s="6"/>
      <c r="AN6" s="6"/>
      <c r="AO6" s="6"/>
      <c r="AP6" s="6"/>
      <c r="AQ6" s="6"/>
      <c r="AR6" s="6"/>
      <c r="AS6" s="6"/>
      <c r="AT6" s="91"/>
      <c r="AU6" s="6"/>
      <c r="AV6" s="6"/>
      <c r="AW6" s="6"/>
      <c r="AX6" s="6"/>
    </row>
    <row r="7" spans="1:50" x14ac:dyDescent="0.2">
      <c r="A7" s="6" t="s">
        <v>36</v>
      </c>
      <c r="B7" s="92">
        <v>1231663</v>
      </c>
      <c r="C7" s="93">
        <v>187206</v>
      </c>
      <c r="D7" s="70"/>
      <c r="E7" s="17" t="s">
        <v>26</v>
      </c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193" t="s">
        <v>311</v>
      </c>
      <c r="AN7" s="194"/>
      <c r="AO7" s="194"/>
      <c r="AP7" s="194"/>
      <c r="AQ7" s="194"/>
      <c r="AR7" s="194"/>
      <c r="AS7" s="194"/>
      <c r="AT7" s="195"/>
      <c r="AU7" s="6"/>
      <c r="AV7" s="6"/>
      <c r="AW7" s="6"/>
      <c r="AX7" s="6"/>
    </row>
    <row r="8" spans="1:50" x14ac:dyDescent="0.2">
      <c r="A8" s="6" t="s">
        <v>146</v>
      </c>
      <c r="B8" s="96">
        <v>500000</v>
      </c>
      <c r="C8" s="97">
        <v>50000</v>
      </c>
      <c r="D8" s="70"/>
      <c r="E8" s="17" t="s">
        <v>26</v>
      </c>
      <c r="F8" s="8"/>
      <c r="G8" s="6"/>
      <c r="H8" s="6"/>
      <c r="I8" s="6"/>
      <c r="J8" s="6"/>
      <c r="K8" s="193" t="s">
        <v>313</v>
      </c>
      <c r="L8" s="194"/>
      <c r="M8" s="194"/>
      <c r="N8" s="195"/>
      <c r="O8" s="98"/>
      <c r="P8" s="98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N8" s="6"/>
      <c r="AO8" s="6"/>
      <c r="AP8" s="6"/>
      <c r="AQ8" s="6"/>
      <c r="AR8" s="6"/>
      <c r="AS8" s="6"/>
      <c r="AT8" s="91"/>
      <c r="AU8" s="6"/>
      <c r="AV8" s="6"/>
      <c r="AW8" s="6"/>
      <c r="AX8" s="6"/>
    </row>
    <row r="9" spans="1:50" x14ac:dyDescent="0.2">
      <c r="A9" s="11" t="s">
        <v>159</v>
      </c>
      <c r="B9" s="99">
        <v>350000</v>
      </c>
      <c r="C9" s="100">
        <v>50000</v>
      </c>
      <c r="D9" s="72"/>
      <c r="E9" s="11" t="s">
        <v>316</v>
      </c>
      <c r="F9" s="18"/>
      <c r="G9" s="6"/>
      <c r="H9" s="6"/>
      <c r="I9" s="6"/>
      <c r="J9" s="6"/>
      <c r="K9" s="193" t="s">
        <v>317</v>
      </c>
      <c r="L9" s="194"/>
      <c r="M9" s="194"/>
      <c r="N9" s="195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91"/>
      <c r="AU9" s="6"/>
      <c r="AV9" s="6"/>
      <c r="AW9" s="6"/>
      <c r="AX9" s="6"/>
    </row>
    <row r="10" spans="1:50" x14ac:dyDescent="0.2">
      <c r="A10" s="11" t="s">
        <v>318</v>
      </c>
      <c r="B10" s="99"/>
      <c r="C10" s="100"/>
      <c r="D10" s="72"/>
      <c r="E10" s="17" t="s">
        <v>26</v>
      </c>
      <c r="F10" s="18"/>
      <c r="G10" s="6"/>
      <c r="H10" s="6"/>
      <c r="I10" s="6"/>
      <c r="J10" s="6"/>
      <c r="K10" s="193" t="s">
        <v>319</v>
      </c>
      <c r="L10" s="194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91"/>
      <c r="AU10" s="6"/>
      <c r="AV10" s="6"/>
      <c r="AW10" s="6"/>
      <c r="AX10" s="6"/>
    </row>
    <row r="11" spans="1:50" x14ac:dyDescent="0.2">
      <c r="A11" s="6" t="s">
        <v>46</v>
      </c>
      <c r="B11" s="96">
        <v>586000</v>
      </c>
      <c r="C11" s="97">
        <v>103000</v>
      </c>
      <c r="D11" s="70"/>
      <c r="E11" s="17" t="s">
        <v>26</v>
      </c>
      <c r="F11" s="8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193" t="s">
        <v>313</v>
      </c>
      <c r="AB11" s="194"/>
      <c r="AC11" s="194"/>
      <c r="AD11" s="194"/>
      <c r="AE11" s="194"/>
      <c r="AF11" s="194"/>
      <c r="AG11" s="194"/>
      <c r="AH11" s="195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101"/>
      <c r="AU11" s="98"/>
      <c r="AV11" s="98"/>
      <c r="AW11" s="98"/>
      <c r="AX11" s="6"/>
    </row>
    <row r="12" spans="1:50" x14ac:dyDescent="0.2">
      <c r="A12" s="6" t="s">
        <v>152</v>
      </c>
      <c r="B12" s="86">
        <v>6000000</v>
      </c>
      <c r="C12" s="87">
        <v>1041000</v>
      </c>
      <c r="D12" s="77">
        <v>55000</v>
      </c>
      <c r="E12" s="142" t="s">
        <v>26</v>
      </c>
      <c r="F12" s="95"/>
      <c r="G12" s="193" t="s">
        <v>320</v>
      </c>
      <c r="H12" s="194"/>
      <c r="I12" s="194"/>
      <c r="J12" s="194"/>
      <c r="K12" s="194"/>
      <c r="L12" s="194"/>
      <c r="M12" s="194"/>
      <c r="N12" s="195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101"/>
      <c r="AU12" s="98"/>
      <c r="AV12" s="98"/>
      <c r="AW12" s="98"/>
      <c r="AX12" s="6"/>
    </row>
    <row r="13" spans="1:50" x14ac:dyDescent="0.2">
      <c r="A13" s="11" t="s">
        <v>53</v>
      </c>
      <c r="B13" s="102">
        <v>5717000</v>
      </c>
      <c r="C13" s="103">
        <v>775000</v>
      </c>
      <c r="D13" s="78"/>
      <c r="E13" s="142" t="s">
        <v>26</v>
      </c>
      <c r="F13" s="18"/>
      <c r="G13" s="194" t="s">
        <v>321</v>
      </c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5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91"/>
      <c r="AU13" s="6"/>
      <c r="AV13" s="6"/>
      <c r="AW13" s="6"/>
      <c r="AX13" s="6"/>
    </row>
    <row r="14" spans="1:50" x14ac:dyDescent="0.2">
      <c r="A14" s="11" t="s">
        <v>322</v>
      </c>
      <c r="B14" s="99">
        <v>704000</v>
      </c>
      <c r="C14" s="100">
        <v>101000</v>
      </c>
      <c r="D14" s="72">
        <v>25000</v>
      </c>
      <c r="E14" s="11" t="s">
        <v>316</v>
      </c>
      <c r="F14" s="18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93" t="s">
        <v>323</v>
      </c>
      <c r="S14" s="194"/>
      <c r="T14" s="194"/>
      <c r="U14" s="195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91"/>
      <c r="AU14" s="6"/>
      <c r="AV14" s="6"/>
      <c r="AW14" s="6"/>
      <c r="AX14" s="6"/>
    </row>
    <row r="15" spans="1:50" x14ac:dyDescent="0.2">
      <c r="A15" s="32" t="s">
        <v>324</v>
      </c>
      <c r="B15" s="115">
        <v>749000</v>
      </c>
      <c r="C15" s="116">
        <v>126000</v>
      </c>
      <c r="D15" s="117"/>
      <c r="E15" s="144" t="s">
        <v>26</v>
      </c>
      <c r="F15" s="118"/>
      <c r="G15" s="98"/>
      <c r="H15" s="98"/>
      <c r="I15" s="98"/>
      <c r="J15" s="6"/>
      <c r="K15" s="98"/>
      <c r="L15" s="98"/>
      <c r="M15" s="98"/>
      <c r="N15" s="6"/>
      <c r="O15" s="6"/>
      <c r="P15" s="6"/>
      <c r="Q15" s="6"/>
      <c r="R15" s="6"/>
      <c r="S15" s="6"/>
      <c r="T15" s="6"/>
      <c r="U15" s="6"/>
      <c r="V15" s="6"/>
      <c r="W15" s="193" t="s">
        <v>325</v>
      </c>
      <c r="X15" s="194"/>
      <c r="Y15" s="194"/>
      <c r="Z15" s="194"/>
      <c r="AA15" s="194"/>
      <c r="AB15" s="194"/>
      <c r="AC15" s="194"/>
      <c r="AD15" s="194"/>
      <c r="AE15" s="194"/>
      <c r="AF15" s="195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</row>
    <row r="16" spans="1:50" x14ac:dyDescent="0.2">
      <c r="A16" s="32" t="s">
        <v>326</v>
      </c>
      <c r="B16" s="115">
        <v>826000</v>
      </c>
      <c r="C16" s="116">
        <v>148000</v>
      </c>
      <c r="D16" s="117"/>
      <c r="E16" s="32" t="s">
        <v>17</v>
      </c>
      <c r="F16" s="118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193" t="s">
        <v>327</v>
      </c>
      <c r="U16" s="194"/>
      <c r="V16" s="194"/>
      <c r="W16" s="200"/>
      <c r="X16" s="198"/>
      <c r="Y16" s="199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</row>
    <row r="17" spans="1:50" x14ac:dyDescent="0.2">
      <c r="A17" s="32" t="s">
        <v>328</v>
      </c>
      <c r="B17" s="115">
        <v>2425000</v>
      </c>
      <c r="C17" s="116">
        <v>372000</v>
      </c>
      <c r="D17" s="134"/>
      <c r="E17" s="144" t="s">
        <v>17</v>
      </c>
      <c r="F17" s="123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193" t="s">
        <v>329</v>
      </c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4"/>
      <c r="AL17" s="194"/>
      <c r="AM17" s="194"/>
      <c r="AN17" s="194"/>
      <c r="AO17" s="194"/>
      <c r="AP17" s="194"/>
      <c r="AQ17" s="194"/>
      <c r="AR17" s="194"/>
      <c r="AS17" s="194"/>
      <c r="AT17" s="194"/>
      <c r="AU17" s="194"/>
      <c r="AV17" s="194"/>
      <c r="AW17" s="194"/>
      <c r="AX17" s="195"/>
    </row>
    <row r="18" spans="1:50" x14ac:dyDescent="0.2">
      <c r="A18" s="32" t="s">
        <v>330</v>
      </c>
      <c r="B18" s="115">
        <v>3800000</v>
      </c>
      <c r="C18" s="116">
        <v>980000</v>
      </c>
      <c r="D18" s="117"/>
      <c r="E18" s="32" t="s">
        <v>316</v>
      </c>
      <c r="F18" s="118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193" t="s">
        <v>331</v>
      </c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  <c r="AH18" s="194"/>
      <c r="AI18" s="195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1"/>
      <c r="AU18" s="11"/>
      <c r="AV18" s="11"/>
      <c r="AW18" s="11"/>
      <c r="AX18" s="11"/>
    </row>
    <row r="19" spans="1:50" x14ac:dyDescent="0.2">
      <c r="A19" s="32" t="s">
        <v>332</v>
      </c>
      <c r="B19" s="115">
        <v>500000</v>
      </c>
      <c r="C19" s="116">
        <v>50000</v>
      </c>
      <c r="D19" s="117"/>
      <c r="E19" s="32"/>
      <c r="F19" s="118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11"/>
      <c r="AU19" s="11"/>
      <c r="AV19" s="11"/>
      <c r="AW19" s="11"/>
      <c r="AX19" s="11"/>
    </row>
    <row r="20" spans="1:50" x14ac:dyDescent="0.2">
      <c r="A20" s="32" t="s">
        <v>333</v>
      </c>
      <c r="B20" s="115">
        <v>600000</v>
      </c>
      <c r="C20" s="116">
        <v>120000</v>
      </c>
      <c r="D20" s="117"/>
      <c r="E20" s="32"/>
      <c r="F20" s="118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11"/>
      <c r="AU20" s="11"/>
      <c r="AV20" s="11"/>
      <c r="AW20" s="11"/>
      <c r="AX20" s="11"/>
    </row>
    <row r="21" spans="1:50" x14ac:dyDescent="0.2">
      <c r="A21" s="32" t="s">
        <v>334</v>
      </c>
      <c r="B21" s="115">
        <v>750000</v>
      </c>
      <c r="C21" s="116">
        <v>150000</v>
      </c>
      <c r="D21" s="117"/>
      <c r="E21" s="32"/>
      <c r="F21" s="118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193" t="s">
        <v>335</v>
      </c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  <c r="AH21" s="194"/>
      <c r="AI21" s="195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11"/>
      <c r="AU21" s="11"/>
      <c r="AV21" s="11"/>
      <c r="AW21" s="11"/>
      <c r="AX21" s="11"/>
    </row>
    <row r="22" spans="1:50" x14ac:dyDescent="0.2">
      <c r="A22" s="32" t="s">
        <v>336</v>
      </c>
      <c r="B22" s="115">
        <v>1500000</v>
      </c>
      <c r="C22" s="116">
        <v>250000</v>
      </c>
      <c r="D22" s="117"/>
      <c r="E22" s="32"/>
      <c r="F22" s="118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193" t="s">
        <v>337</v>
      </c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5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11"/>
      <c r="AU22" s="11"/>
      <c r="AV22" s="11"/>
      <c r="AW22" s="11"/>
      <c r="AX22" s="11"/>
    </row>
    <row r="23" spans="1:50" x14ac:dyDescent="0.2">
      <c r="A23" s="32" t="s">
        <v>338</v>
      </c>
      <c r="B23" s="115">
        <v>2500000</v>
      </c>
      <c r="C23" s="116">
        <v>250000</v>
      </c>
      <c r="D23" s="117"/>
      <c r="E23" s="32" t="s">
        <v>26</v>
      </c>
      <c r="F23" s="118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193" t="s">
        <v>339</v>
      </c>
      <c r="AR23" s="194"/>
      <c r="AS23" s="194"/>
      <c r="AT23" s="194"/>
      <c r="AU23" s="194"/>
      <c r="AV23" s="194"/>
      <c r="AW23" s="194"/>
      <c r="AX23" s="195"/>
    </row>
    <row r="24" spans="1:50" x14ac:dyDescent="0.2">
      <c r="A24" s="32" t="s">
        <v>340</v>
      </c>
      <c r="B24" s="115">
        <v>1990000</v>
      </c>
      <c r="C24" s="116">
        <v>300000</v>
      </c>
      <c r="D24" s="117"/>
      <c r="E24" s="32"/>
      <c r="F24" s="118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</row>
    <row r="25" spans="1:50" x14ac:dyDescent="0.2">
      <c r="A25" s="119" t="s">
        <v>341</v>
      </c>
      <c r="B25" s="120">
        <v>1100000</v>
      </c>
      <c r="C25" s="121">
        <v>325000</v>
      </c>
      <c r="D25" s="122"/>
      <c r="E25" s="119" t="s">
        <v>26</v>
      </c>
      <c r="F25" s="123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6"/>
      <c r="X25" s="6"/>
      <c r="Y25" s="6"/>
      <c r="Z25" s="6"/>
      <c r="AA25" s="6"/>
      <c r="AB25" s="6"/>
      <c r="AC25" s="6"/>
      <c r="AD25" s="6"/>
      <c r="AE25" s="193" t="s">
        <v>331</v>
      </c>
      <c r="AF25" s="194"/>
      <c r="AG25" s="194"/>
      <c r="AH25" s="195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</row>
    <row r="26" spans="1:50" x14ac:dyDescent="0.2">
      <c r="A26" s="119" t="s">
        <v>342</v>
      </c>
      <c r="B26" s="120" t="s">
        <v>331</v>
      </c>
      <c r="C26" s="121" t="s">
        <v>331</v>
      </c>
      <c r="D26" s="122"/>
      <c r="E26" s="119" t="s">
        <v>26</v>
      </c>
      <c r="F26" s="123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6"/>
      <c r="W26" s="6"/>
      <c r="X26" s="6"/>
      <c r="Y26" s="6"/>
      <c r="Z26" s="6"/>
      <c r="AA26" s="6"/>
      <c r="AB26" s="6"/>
      <c r="AC26" s="6"/>
      <c r="AD26" s="6"/>
      <c r="AE26" s="206"/>
      <c r="AF26" s="206"/>
      <c r="AG26" s="206"/>
      <c r="AH26" s="20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</row>
    <row r="27" spans="1:50" x14ac:dyDescent="0.2">
      <c r="A27" s="119" t="s">
        <v>343</v>
      </c>
      <c r="B27" s="120" t="s">
        <v>331</v>
      </c>
      <c r="C27" s="121" t="s">
        <v>331</v>
      </c>
      <c r="D27" s="122"/>
      <c r="E27" s="119"/>
      <c r="F27" s="123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206"/>
      <c r="W27" s="206"/>
      <c r="X27" s="206"/>
      <c r="Y27" s="206"/>
      <c r="Z27" s="6"/>
      <c r="AA27" s="6"/>
      <c r="AB27" s="6"/>
      <c r="AC27" s="6"/>
      <c r="AD27" s="6"/>
      <c r="AE27" s="98"/>
      <c r="AF27" s="98"/>
      <c r="AG27" s="98"/>
      <c r="AH27" s="98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</row>
    <row r="28" spans="1:50" x14ac:dyDescent="0.2">
      <c r="A28" s="119" t="s">
        <v>344</v>
      </c>
      <c r="B28" s="120" t="s">
        <v>331</v>
      </c>
      <c r="C28" s="121" t="s">
        <v>331</v>
      </c>
      <c r="D28" s="122" t="s">
        <v>331</v>
      </c>
      <c r="E28" s="119"/>
      <c r="F28" s="123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98"/>
      <c r="W28" s="98"/>
      <c r="X28" s="98"/>
      <c r="Y28" s="98"/>
      <c r="Z28" s="6"/>
      <c r="AA28" s="6"/>
      <c r="AB28" s="6"/>
      <c r="AC28" s="6"/>
      <c r="AD28" s="6"/>
      <c r="AE28" s="98"/>
      <c r="AF28" s="98"/>
      <c r="AG28" s="98"/>
      <c r="AH28" s="98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</row>
    <row r="29" spans="1:50" s="104" customFormat="1" x14ac:dyDescent="0.2">
      <c r="B29" s="114">
        <f>SUM(B4:B25)</f>
        <v>47607458.640000001</v>
      </c>
      <c r="C29" s="114">
        <f>SUM(C4:C25)</f>
        <v>7232765.1299999999</v>
      </c>
      <c r="D29" s="114">
        <f>SUM(D4:D25)</f>
        <v>80000</v>
      </c>
      <c r="F29" s="105"/>
    </row>
    <row r="30" spans="1:50" x14ac:dyDescent="0.2">
      <c r="A30" s="32" t="s">
        <v>345</v>
      </c>
      <c r="B30" s="115"/>
      <c r="C30" s="116"/>
      <c r="D30" s="117"/>
      <c r="E30" s="32" t="s">
        <v>316</v>
      </c>
      <c r="F30" s="118"/>
      <c r="G30" s="193" t="s">
        <v>346</v>
      </c>
      <c r="H30" s="194"/>
      <c r="I30" s="194"/>
      <c r="J30" s="194"/>
      <c r="K30" s="194"/>
      <c r="L30" s="194"/>
      <c r="M30" s="194"/>
      <c r="N30" s="195"/>
      <c r="O30" s="11"/>
      <c r="P30" s="11"/>
      <c r="Q30" s="11"/>
      <c r="R30" s="11"/>
      <c r="S30" s="6"/>
      <c r="T30" s="6"/>
      <c r="U30" s="6"/>
      <c r="V30" s="6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</row>
    <row r="31" spans="1:50" x14ac:dyDescent="0.2">
      <c r="A31" s="32" t="s">
        <v>347</v>
      </c>
      <c r="B31" s="115"/>
      <c r="C31" s="116"/>
      <c r="D31" s="117"/>
      <c r="E31" s="32" t="s">
        <v>316</v>
      </c>
      <c r="F31" s="118"/>
      <c r="G31" s="11"/>
      <c r="H31" s="11"/>
      <c r="I31" s="11"/>
      <c r="J31" s="11"/>
      <c r="K31" s="6"/>
      <c r="L31" s="6"/>
      <c r="M31" s="6"/>
      <c r="N31" s="6"/>
      <c r="O31" s="193" t="s">
        <v>346</v>
      </c>
      <c r="P31" s="194"/>
      <c r="Q31" s="194"/>
      <c r="R31" s="194"/>
      <c r="S31" s="194"/>
      <c r="T31" s="194"/>
      <c r="U31" s="194"/>
      <c r="V31" s="195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</row>
    <row r="32" spans="1:50" s="104" customFormat="1" x14ac:dyDescent="0.2">
      <c r="A32" s="124" t="s">
        <v>348</v>
      </c>
      <c r="B32" s="125">
        <f>SUM(B33:B41)</f>
        <v>24316265</v>
      </c>
      <c r="C32" s="125">
        <f>SUM(C33:C41)</f>
        <v>2718374</v>
      </c>
      <c r="D32" s="125">
        <f>SUM(D33:D41)</f>
        <v>0</v>
      </c>
      <c r="E32" s="126"/>
      <c r="F32" s="127"/>
      <c r="G32" s="106"/>
      <c r="H32" s="107"/>
      <c r="I32" s="107"/>
      <c r="J32" s="107"/>
      <c r="K32" s="107"/>
      <c r="L32" s="107"/>
      <c r="M32" s="108"/>
      <c r="N32" s="108"/>
      <c r="O32" s="108"/>
      <c r="P32" s="108"/>
      <c r="Q32" s="108"/>
      <c r="R32" s="109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1"/>
      <c r="AU32" s="110"/>
      <c r="AV32" s="110"/>
      <c r="AW32" s="110"/>
      <c r="AX32" s="110"/>
    </row>
    <row r="33" spans="1:50" x14ac:dyDescent="0.2">
      <c r="A33" s="6" t="s">
        <v>349</v>
      </c>
      <c r="B33" s="69">
        <v>1919210</v>
      </c>
      <c r="C33" s="70">
        <v>336629</v>
      </c>
      <c r="D33" s="70"/>
      <c r="E33" s="32" t="s">
        <v>316</v>
      </c>
      <c r="F33" s="128"/>
      <c r="G33" s="193" t="s">
        <v>350</v>
      </c>
      <c r="H33" s="194"/>
      <c r="I33" s="194"/>
      <c r="J33" s="194"/>
      <c r="K33" s="194"/>
      <c r="L33" s="194"/>
      <c r="M33" s="195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91"/>
      <c r="AU33" s="6"/>
      <c r="AV33" s="6"/>
      <c r="AW33" s="6"/>
      <c r="AX33" s="6"/>
    </row>
    <row r="34" spans="1:50" x14ac:dyDescent="0.2">
      <c r="A34" s="32" t="s">
        <v>351</v>
      </c>
      <c r="B34" s="129">
        <v>7011694</v>
      </c>
      <c r="C34" s="117">
        <v>732884</v>
      </c>
      <c r="D34" s="117"/>
      <c r="E34" s="32" t="s">
        <v>316</v>
      </c>
      <c r="F34" s="118"/>
      <c r="G34" s="6"/>
      <c r="H34" s="6"/>
      <c r="I34" s="98"/>
      <c r="J34" s="98"/>
      <c r="K34" s="98"/>
      <c r="L34" s="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198"/>
      <c r="AR34" s="198"/>
      <c r="AS34" s="198"/>
      <c r="AT34" s="198"/>
      <c r="AU34" s="198"/>
      <c r="AV34" s="198"/>
      <c r="AW34" s="198"/>
      <c r="AX34" s="199"/>
    </row>
    <row r="35" spans="1:50" x14ac:dyDescent="0.2">
      <c r="A35" s="32" t="s">
        <v>352</v>
      </c>
      <c r="B35" s="129">
        <v>8867830</v>
      </c>
      <c r="C35" s="117">
        <v>801488</v>
      </c>
      <c r="D35" s="117"/>
      <c r="E35" s="32" t="s">
        <v>316</v>
      </c>
      <c r="F35" s="118"/>
      <c r="G35" s="11"/>
      <c r="H35" s="11"/>
      <c r="I35" s="11"/>
      <c r="J35" s="11"/>
      <c r="K35" s="6"/>
      <c r="L35" s="6"/>
      <c r="M35" s="6"/>
      <c r="N35" s="6"/>
      <c r="O35" s="200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  <c r="AS35" s="198"/>
      <c r="AT35" s="198"/>
      <c r="AU35" s="198"/>
      <c r="AV35" s="198"/>
      <c r="AW35" s="198"/>
      <c r="AX35" s="199"/>
    </row>
    <row r="36" spans="1:50" x14ac:dyDescent="0.2">
      <c r="A36" s="32" t="s">
        <v>353</v>
      </c>
      <c r="B36" s="129">
        <v>2218604</v>
      </c>
      <c r="C36" s="117">
        <v>228845</v>
      </c>
      <c r="D36" s="117"/>
      <c r="E36" s="32" t="s">
        <v>316</v>
      </c>
      <c r="F36" s="130"/>
      <c r="G36" s="11"/>
      <c r="H36" s="11"/>
      <c r="I36" s="11"/>
      <c r="J36" s="11"/>
      <c r="K36" s="194" t="s">
        <v>354</v>
      </c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7"/>
      <c r="Y36" s="139"/>
      <c r="Z36" s="139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14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</row>
    <row r="37" spans="1:50" x14ac:dyDescent="0.2">
      <c r="A37" s="32" t="s">
        <v>355</v>
      </c>
      <c r="B37" s="129">
        <v>630901</v>
      </c>
      <c r="C37" s="117">
        <v>87092</v>
      </c>
      <c r="D37" s="117"/>
      <c r="E37" s="32" t="s">
        <v>316</v>
      </c>
      <c r="F37" s="128"/>
      <c r="G37" s="193" t="s">
        <v>356</v>
      </c>
      <c r="H37" s="195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</row>
    <row r="38" spans="1:50" x14ac:dyDescent="0.2">
      <c r="A38" s="11" t="s">
        <v>357</v>
      </c>
      <c r="B38" s="71">
        <v>757321</v>
      </c>
      <c r="C38" s="72">
        <v>110407</v>
      </c>
      <c r="D38" s="72"/>
      <c r="E38" s="32" t="s">
        <v>316</v>
      </c>
      <c r="F38" s="118"/>
      <c r="G38" s="11"/>
      <c r="H38" s="11"/>
      <c r="I38" s="11"/>
      <c r="J38" s="11"/>
      <c r="K38" s="193" t="s">
        <v>358</v>
      </c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5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</row>
    <row r="39" spans="1:50" x14ac:dyDescent="0.2">
      <c r="A39" s="11" t="s">
        <v>359</v>
      </c>
      <c r="B39" s="71">
        <v>738607</v>
      </c>
      <c r="C39" s="72">
        <v>107437</v>
      </c>
      <c r="D39" s="72"/>
      <c r="E39" s="32" t="s">
        <v>316</v>
      </c>
      <c r="F39" s="18"/>
      <c r="G39" s="11"/>
      <c r="H39" s="11"/>
      <c r="I39" s="11"/>
      <c r="J39" s="11"/>
      <c r="K39" s="11"/>
      <c r="L39" s="11"/>
      <c r="M39" s="11"/>
      <c r="N39" s="11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8"/>
      <c r="AA39" s="198"/>
      <c r="AB39" s="199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</row>
    <row r="40" spans="1:50" x14ac:dyDescent="0.2">
      <c r="A40" s="11" t="s">
        <v>360</v>
      </c>
      <c r="B40" s="71">
        <v>1146340</v>
      </c>
      <c r="C40" s="72">
        <v>165438</v>
      </c>
      <c r="D40" s="72"/>
      <c r="E40" s="32" t="s">
        <v>316</v>
      </c>
      <c r="F40" s="18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203" t="s">
        <v>361</v>
      </c>
      <c r="R40" s="204"/>
      <c r="S40" s="204"/>
      <c r="T40" s="204"/>
      <c r="U40" s="204"/>
      <c r="V40" s="204"/>
      <c r="W40" s="204"/>
      <c r="X40" s="204"/>
      <c r="Y40" s="204"/>
      <c r="Z40" s="204"/>
      <c r="AA40" s="204"/>
      <c r="AB40" s="204"/>
      <c r="AC40" s="204"/>
      <c r="AD40" s="204"/>
      <c r="AE40" s="205"/>
      <c r="AF40" s="11"/>
      <c r="AG40" s="11"/>
      <c r="AH40" s="11"/>
      <c r="AI40" s="11"/>
      <c r="AJ40" s="11"/>
      <c r="AK40" s="194" t="s">
        <v>362</v>
      </c>
      <c r="AL40" s="196"/>
      <c r="AM40" s="196"/>
      <c r="AN40" s="196"/>
      <c r="AO40" s="196"/>
      <c r="AP40" s="196"/>
      <c r="AQ40" s="196"/>
      <c r="AR40" s="196"/>
      <c r="AS40" s="196"/>
      <c r="AT40" s="196"/>
      <c r="AU40" s="196"/>
      <c r="AV40" s="196"/>
      <c r="AW40" s="196"/>
      <c r="AX40" s="197"/>
    </row>
    <row r="41" spans="1:50" x14ac:dyDescent="0.2">
      <c r="A41" s="11" t="s">
        <v>363</v>
      </c>
      <c r="B41" s="71">
        <v>1025758</v>
      </c>
      <c r="C41" s="72">
        <v>148154</v>
      </c>
      <c r="D41" s="72"/>
      <c r="E41" s="32" t="s">
        <v>316</v>
      </c>
      <c r="F41" s="18"/>
      <c r="G41" s="11"/>
      <c r="H41" s="11"/>
      <c r="I41" s="11"/>
      <c r="J41" s="11"/>
      <c r="K41" s="11"/>
      <c r="L41" s="11"/>
      <c r="M41" s="11"/>
      <c r="N41" s="11"/>
      <c r="O41" s="6"/>
      <c r="P41" s="6"/>
      <c r="Q41" s="203" t="s">
        <v>361</v>
      </c>
      <c r="R41" s="204"/>
      <c r="S41" s="204"/>
      <c r="T41" s="204"/>
      <c r="U41" s="204"/>
      <c r="V41" s="204"/>
      <c r="W41" s="204"/>
      <c r="X41" s="204"/>
      <c r="Y41" s="204"/>
      <c r="Z41" s="204"/>
      <c r="AA41" s="204"/>
      <c r="AB41" s="204"/>
      <c r="AC41" s="204"/>
      <c r="AD41" s="204"/>
      <c r="AE41" s="205"/>
      <c r="AF41" s="11"/>
      <c r="AG41" s="11"/>
      <c r="AH41" s="11"/>
      <c r="AI41" s="11"/>
      <c r="AJ41" s="11"/>
      <c r="AK41" s="194" t="s">
        <v>362</v>
      </c>
      <c r="AL41" s="196"/>
      <c r="AM41" s="196"/>
      <c r="AN41" s="196"/>
      <c r="AO41" s="196"/>
      <c r="AP41" s="196"/>
      <c r="AQ41" s="196"/>
      <c r="AR41" s="196"/>
      <c r="AS41" s="196"/>
      <c r="AT41" s="196"/>
      <c r="AU41" s="196"/>
      <c r="AV41" s="196"/>
      <c r="AW41" s="196"/>
      <c r="AX41" s="197"/>
    </row>
    <row r="42" spans="1:50" x14ac:dyDescent="0.2">
      <c r="A42" s="32" t="s">
        <v>364</v>
      </c>
      <c r="B42" s="129">
        <v>3849526</v>
      </c>
      <c r="C42" s="117">
        <v>410091</v>
      </c>
      <c r="D42" s="117"/>
      <c r="E42" s="32" t="s">
        <v>316</v>
      </c>
      <c r="F42" s="118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203" t="s">
        <v>365</v>
      </c>
      <c r="AE42" s="204"/>
      <c r="AF42" s="204"/>
      <c r="AG42" s="204"/>
      <c r="AH42" s="204"/>
      <c r="AI42" s="204"/>
      <c r="AJ42" s="204"/>
      <c r="AK42" s="204"/>
      <c r="AL42" s="204"/>
      <c r="AM42" s="204"/>
      <c r="AN42" s="204"/>
      <c r="AO42" s="204"/>
      <c r="AP42" s="204"/>
      <c r="AQ42" s="204"/>
      <c r="AR42" s="204"/>
      <c r="AS42" s="204"/>
      <c r="AT42" s="205"/>
      <c r="AU42" s="11"/>
      <c r="AV42" s="11"/>
      <c r="AW42" s="11"/>
      <c r="AX42" s="11"/>
    </row>
    <row r="43" spans="1:50" x14ac:dyDescent="0.2">
      <c r="A43" s="32" t="s">
        <v>366</v>
      </c>
      <c r="B43" s="129">
        <v>689947</v>
      </c>
      <c r="C43" s="117">
        <v>84815</v>
      </c>
      <c r="D43" s="117"/>
      <c r="E43" s="32" t="s">
        <v>316</v>
      </c>
      <c r="F43" s="118"/>
      <c r="G43" s="98"/>
      <c r="H43" s="98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</row>
    <row r="44" spans="1:50" x14ac:dyDescent="0.2">
      <c r="A44" s="11" t="s">
        <v>367</v>
      </c>
      <c r="B44" s="71">
        <v>3844237</v>
      </c>
      <c r="C44" s="72">
        <v>151068</v>
      </c>
      <c r="D44" s="72"/>
      <c r="E44" s="32" t="s">
        <v>316</v>
      </c>
      <c r="F44" s="18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</row>
    <row r="45" spans="1:50" s="104" customFormat="1" x14ac:dyDescent="0.2">
      <c r="A45" s="124" t="s">
        <v>368</v>
      </c>
      <c r="B45" s="125">
        <f>SUM(B46:B51)</f>
        <v>16451512</v>
      </c>
      <c r="C45" s="125">
        <f>SUM(C46:C51)</f>
        <v>2810698</v>
      </c>
      <c r="D45" s="125">
        <f>SUM(D46:D51)</f>
        <v>125000</v>
      </c>
      <c r="E45" s="126"/>
      <c r="F45" s="127"/>
      <c r="G45" s="106"/>
      <c r="H45" s="107"/>
      <c r="I45" s="107"/>
      <c r="J45" s="107"/>
      <c r="K45" s="107"/>
      <c r="L45" s="107"/>
      <c r="M45" s="108"/>
      <c r="N45" s="108"/>
      <c r="O45" s="108"/>
      <c r="P45" s="108"/>
      <c r="Q45" s="108"/>
      <c r="R45" s="109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  <c r="AS45" s="110"/>
      <c r="AT45" s="111"/>
      <c r="AU45" s="110"/>
      <c r="AV45" s="110"/>
      <c r="AW45" s="110"/>
      <c r="AX45" s="110"/>
    </row>
    <row r="46" spans="1:50" x14ac:dyDescent="0.2">
      <c r="A46" s="32" t="s">
        <v>369</v>
      </c>
      <c r="B46" s="115">
        <v>250000</v>
      </c>
      <c r="C46" s="116">
        <v>70000</v>
      </c>
      <c r="D46" s="117"/>
      <c r="E46" s="32" t="s">
        <v>316</v>
      </c>
      <c r="F46" s="118"/>
      <c r="G46" s="11"/>
      <c r="H46" s="11"/>
      <c r="I46" s="11"/>
      <c r="J46" s="11"/>
      <c r="K46" s="11"/>
      <c r="L46" s="11"/>
      <c r="M46" s="193" t="s">
        <v>370</v>
      </c>
      <c r="N46" s="194"/>
      <c r="O46" s="194"/>
      <c r="P46" s="194"/>
      <c r="Q46" s="194"/>
      <c r="R46" s="195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</row>
    <row r="47" spans="1:50" x14ac:dyDescent="0.2">
      <c r="A47" s="6" t="s">
        <v>81</v>
      </c>
      <c r="B47" s="96">
        <v>3000000</v>
      </c>
      <c r="C47" s="97">
        <v>500000</v>
      </c>
      <c r="D47" s="70">
        <v>70000</v>
      </c>
      <c r="E47" s="6" t="s">
        <v>316</v>
      </c>
      <c r="F47" s="8"/>
      <c r="G47" s="6"/>
      <c r="H47" s="6"/>
      <c r="I47" s="6"/>
      <c r="J47" s="6"/>
      <c r="K47" s="6"/>
      <c r="L47" s="6"/>
      <c r="M47" s="6"/>
      <c r="N47" s="6"/>
      <c r="O47" s="193" t="s">
        <v>371</v>
      </c>
      <c r="P47" s="194"/>
      <c r="Q47" s="194"/>
      <c r="R47" s="194"/>
      <c r="S47" s="194"/>
      <c r="T47" s="194"/>
      <c r="U47" s="194"/>
      <c r="V47" s="195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91"/>
      <c r="AU47" s="6"/>
      <c r="AV47" s="6"/>
      <c r="AW47" s="6"/>
      <c r="AX47" s="6"/>
    </row>
    <row r="48" spans="1:50" x14ac:dyDescent="0.2">
      <c r="A48" s="11" t="s">
        <v>372</v>
      </c>
      <c r="B48" s="71">
        <v>1138815</v>
      </c>
      <c r="C48" s="72">
        <v>257700</v>
      </c>
      <c r="D48" s="72">
        <v>55000</v>
      </c>
      <c r="E48" s="32" t="s">
        <v>316</v>
      </c>
      <c r="F48" s="118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94" t="s">
        <v>362</v>
      </c>
      <c r="AL48" s="196"/>
      <c r="AM48" s="196"/>
      <c r="AN48" s="196"/>
      <c r="AO48" s="196"/>
      <c r="AP48" s="196"/>
      <c r="AQ48" s="196"/>
      <c r="AR48" s="196"/>
      <c r="AS48" s="196"/>
      <c r="AT48" s="196"/>
      <c r="AU48" s="196"/>
      <c r="AV48" s="196"/>
      <c r="AW48" s="196"/>
      <c r="AX48" s="197"/>
    </row>
    <row r="49" spans="1:50" x14ac:dyDescent="0.2">
      <c r="A49" s="11" t="s">
        <v>373</v>
      </c>
      <c r="B49" s="71">
        <v>2100000</v>
      </c>
      <c r="C49" s="72">
        <v>350000</v>
      </c>
      <c r="D49" s="72"/>
      <c r="E49" s="32" t="s">
        <v>316</v>
      </c>
      <c r="F49" s="18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</row>
    <row r="50" spans="1:50" x14ac:dyDescent="0.2">
      <c r="A50" s="11" t="s">
        <v>374</v>
      </c>
      <c r="B50" s="71">
        <v>7862697</v>
      </c>
      <c r="C50" s="72">
        <v>1282998</v>
      </c>
      <c r="D50" s="72"/>
      <c r="E50" s="32" t="s">
        <v>316</v>
      </c>
      <c r="F50" s="18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</row>
    <row r="51" spans="1:50" x14ac:dyDescent="0.2">
      <c r="A51" s="11" t="s">
        <v>375</v>
      </c>
      <c r="B51" s="71">
        <v>2100000</v>
      </c>
      <c r="C51" s="72">
        <v>350000</v>
      </c>
      <c r="D51" s="72"/>
      <c r="E51" s="32" t="s">
        <v>316</v>
      </c>
      <c r="F51" s="18"/>
      <c r="G51" s="11"/>
      <c r="H51" s="11"/>
      <c r="I51" s="11"/>
      <c r="J51" s="11"/>
      <c r="K51" s="194" t="s">
        <v>331</v>
      </c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7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</row>
    <row r="52" spans="1:50" x14ac:dyDescent="0.2">
      <c r="A52" s="11"/>
      <c r="B52" s="99"/>
      <c r="C52" s="100"/>
      <c r="D52" s="72"/>
      <c r="E52" s="11"/>
      <c r="F52" s="18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</row>
    <row r="53" spans="1:50" x14ac:dyDescent="0.2">
      <c r="A53" s="131" t="s">
        <v>376</v>
      </c>
      <c r="B53" s="132"/>
      <c r="C53" s="133"/>
      <c r="D53" s="134"/>
      <c r="E53" s="131"/>
      <c r="F53" s="135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2">
      <c r="A54" s="131" t="s">
        <v>377</v>
      </c>
      <c r="B54" s="132"/>
      <c r="C54" s="133"/>
      <c r="D54" s="134"/>
      <c r="E54" s="131" t="s">
        <v>26</v>
      </c>
      <c r="F54" s="135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</row>
    <row r="55" spans="1:50" x14ac:dyDescent="0.2">
      <c r="A55" s="32"/>
      <c r="B55" s="115"/>
      <c r="C55" s="116"/>
      <c r="D55" s="117"/>
      <c r="E55" s="32"/>
      <c r="F55" s="118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94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  <c r="AM55" s="113"/>
      <c r="AN55" s="113"/>
      <c r="AO55" s="113"/>
      <c r="AP55" s="113"/>
      <c r="AQ55" s="113"/>
      <c r="AR55" s="113"/>
      <c r="AS55" s="113"/>
      <c r="AT55" s="91"/>
      <c r="AU55" s="6"/>
      <c r="AV55" s="6"/>
      <c r="AW55" s="6"/>
      <c r="AX55" s="6"/>
    </row>
    <row r="56" spans="1:50" x14ac:dyDescent="0.2">
      <c r="A56" s="131" t="s">
        <v>378</v>
      </c>
      <c r="B56" s="112">
        <v>1480000</v>
      </c>
      <c r="C56" s="112">
        <v>159354</v>
      </c>
      <c r="D56" s="134"/>
      <c r="E56" s="131" t="s">
        <v>26</v>
      </c>
      <c r="F56" s="135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</row>
    <row r="57" spans="1:50" x14ac:dyDescent="0.2">
      <c r="A57" s="62" t="s">
        <v>379</v>
      </c>
      <c r="B57" s="73"/>
      <c r="C57" s="74"/>
      <c r="D57" s="76"/>
      <c r="E57" s="62" t="s">
        <v>17</v>
      </c>
      <c r="F57" s="68"/>
      <c r="G57" s="6"/>
      <c r="H57" s="6"/>
      <c r="I57" s="6"/>
      <c r="J57" s="6"/>
      <c r="K57" s="6"/>
      <c r="L57" s="6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91"/>
      <c r="AU57" s="6"/>
      <c r="AV57" s="6"/>
      <c r="AW57" s="6"/>
      <c r="AX57" s="6"/>
    </row>
    <row r="58" spans="1:50" x14ac:dyDescent="0.2">
      <c r="A58" s="32"/>
      <c r="B58" s="115"/>
      <c r="C58" s="116"/>
      <c r="D58" s="117"/>
      <c r="E58" s="32"/>
      <c r="F58" s="118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88"/>
      <c r="AN58" s="89"/>
      <c r="AO58" s="89"/>
      <c r="AP58" s="89"/>
      <c r="AQ58" s="89"/>
      <c r="AR58" s="89"/>
      <c r="AS58" s="89"/>
      <c r="AT58" s="89"/>
      <c r="AU58" s="89"/>
      <c r="AV58" s="89"/>
      <c r="AW58" s="89"/>
      <c r="AX58" s="90"/>
    </row>
    <row r="59" spans="1:50" x14ac:dyDescent="0.2">
      <c r="A59" s="11"/>
      <c r="B59" s="99"/>
      <c r="C59" s="100"/>
      <c r="D59" s="72"/>
      <c r="E59" s="11"/>
      <c r="F59" s="18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</row>
    <row r="60" spans="1:50" x14ac:dyDescent="0.2">
      <c r="A60" s="11"/>
      <c r="B60" s="99"/>
      <c r="C60" s="100"/>
      <c r="D60" s="72"/>
      <c r="E60" s="11"/>
      <c r="F60" s="18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</row>
    <row r="61" spans="1:50" x14ac:dyDescent="0.2">
      <c r="A61" s="11"/>
      <c r="B61" s="99"/>
      <c r="C61" s="100"/>
      <c r="D61" s="72"/>
      <c r="E61" s="11"/>
      <c r="F61" s="18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</row>
    <row r="62" spans="1:50" x14ac:dyDescent="0.2">
      <c r="A62" s="11"/>
      <c r="B62" s="99"/>
      <c r="C62" s="100"/>
      <c r="D62" s="72"/>
      <c r="E62" s="11"/>
      <c r="F62" s="18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</row>
    <row r="63" spans="1:50" x14ac:dyDescent="0.2">
      <c r="A63" s="11"/>
      <c r="B63" s="99"/>
      <c r="C63" s="100"/>
      <c r="D63" s="72"/>
      <c r="E63" s="11"/>
      <c r="F63" s="18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</row>
    <row r="64" spans="1:50" x14ac:dyDescent="0.2">
      <c r="A64" s="11"/>
      <c r="B64" s="99"/>
      <c r="C64" s="100"/>
      <c r="D64" s="72"/>
      <c r="E64" s="11"/>
      <c r="F64" s="18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</row>
    <row r="65" spans="1:50" x14ac:dyDescent="0.2">
      <c r="A65" s="11"/>
      <c r="B65" s="99"/>
      <c r="C65" s="100"/>
      <c r="D65" s="72"/>
      <c r="E65" s="11"/>
      <c r="F65" s="18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</row>
  </sheetData>
  <autoFilter ref="A2:AX25" xr:uid="{6383EEDB-9F35-414A-85E1-76D1EB635F73}"/>
  <mergeCells count="51">
    <mergeCell ref="W17:AX17"/>
    <mergeCell ref="O47:V47"/>
    <mergeCell ref="O31:V31"/>
    <mergeCell ref="M34:AX34"/>
    <mergeCell ref="O35:AX35"/>
    <mergeCell ref="G33:M33"/>
    <mergeCell ref="M46:R46"/>
    <mergeCell ref="G37:H37"/>
    <mergeCell ref="AE26:AH26"/>
    <mergeCell ref="V27:Y27"/>
    <mergeCell ref="Q40:AE40"/>
    <mergeCell ref="Q41:AE41"/>
    <mergeCell ref="AD42:AT42"/>
    <mergeCell ref="O4:AD4"/>
    <mergeCell ref="R14:U14"/>
    <mergeCell ref="AA11:AH11"/>
    <mergeCell ref="M5:R5"/>
    <mergeCell ref="W15:AF15"/>
    <mergeCell ref="W6:AK6"/>
    <mergeCell ref="K51:X51"/>
    <mergeCell ref="AK48:AX48"/>
    <mergeCell ref="AQ1:AT1"/>
    <mergeCell ref="AU1:AX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K8:N8"/>
    <mergeCell ref="K9:N9"/>
    <mergeCell ref="K10:L10"/>
    <mergeCell ref="AM7:AT7"/>
    <mergeCell ref="G30:N30"/>
    <mergeCell ref="AK40:AX40"/>
    <mergeCell ref="O39:AB39"/>
    <mergeCell ref="AK41:AX41"/>
    <mergeCell ref="K38:X38"/>
    <mergeCell ref="G12:N12"/>
    <mergeCell ref="G13:V13"/>
    <mergeCell ref="W22:AI22"/>
    <mergeCell ref="T16:V16"/>
    <mergeCell ref="W16:Y16"/>
    <mergeCell ref="W18:AI18"/>
    <mergeCell ref="AE25:AH25"/>
    <mergeCell ref="K36:X36"/>
    <mergeCell ref="W21:AI21"/>
    <mergeCell ref="AQ23:AX23"/>
  </mergeCell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D0901-7A36-4F09-ACBC-8A6DECDD0C64}">
  <dimension ref="A2:I30"/>
  <sheetViews>
    <sheetView topLeftCell="A4" workbookViewId="0">
      <selection activeCell="D5" sqref="D5"/>
    </sheetView>
  </sheetViews>
  <sheetFormatPr baseColWidth="10" defaultColWidth="8.83203125" defaultRowHeight="15" x14ac:dyDescent="0.2"/>
  <cols>
    <col min="1" max="19" width="16.33203125" customWidth="1"/>
  </cols>
  <sheetData>
    <row r="2" spans="1:9" x14ac:dyDescent="0.2">
      <c r="A2" s="24">
        <v>44986</v>
      </c>
    </row>
    <row r="4" spans="1:9" ht="88.75" customHeight="1" x14ac:dyDescent="0.2"/>
    <row r="5" spans="1:9" ht="88.75" customHeight="1" x14ac:dyDescent="0.2">
      <c r="C5" s="23">
        <v>26</v>
      </c>
      <c r="D5" s="23">
        <v>27</v>
      </c>
      <c r="E5" s="23">
        <v>28</v>
      </c>
      <c r="F5" s="23">
        <v>1</v>
      </c>
      <c r="G5" s="23">
        <v>2</v>
      </c>
      <c r="H5" s="23">
        <v>3</v>
      </c>
      <c r="I5" s="23">
        <v>4</v>
      </c>
    </row>
    <row r="6" spans="1:9" ht="88.75" customHeight="1" x14ac:dyDescent="0.2">
      <c r="C6" s="23">
        <v>5</v>
      </c>
      <c r="D6" s="23">
        <v>6</v>
      </c>
      <c r="E6" s="23">
        <v>7</v>
      </c>
      <c r="F6" s="23">
        <v>8</v>
      </c>
      <c r="G6" s="23">
        <v>9</v>
      </c>
      <c r="H6" s="23">
        <v>10</v>
      </c>
      <c r="I6" s="23">
        <v>11</v>
      </c>
    </row>
    <row r="7" spans="1:9" ht="88.75" customHeight="1" x14ac:dyDescent="0.2">
      <c r="C7" s="23">
        <v>12</v>
      </c>
      <c r="D7" s="23">
        <v>13</v>
      </c>
      <c r="E7" s="23">
        <v>14</v>
      </c>
      <c r="F7" s="23">
        <v>15</v>
      </c>
      <c r="G7" s="23">
        <v>16</v>
      </c>
      <c r="H7" s="23">
        <v>17</v>
      </c>
      <c r="I7" s="23">
        <v>18</v>
      </c>
    </row>
    <row r="8" spans="1:9" ht="88.75" customHeight="1" x14ac:dyDescent="0.2">
      <c r="C8" s="23">
        <v>19</v>
      </c>
      <c r="D8" s="23">
        <v>20</v>
      </c>
      <c r="E8" s="23">
        <v>21</v>
      </c>
      <c r="F8" s="23">
        <v>22</v>
      </c>
      <c r="G8" s="23">
        <v>23</v>
      </c>
      <c r="H8" s="23">
        <v>24</v>
      </c>
      <c r="I8" s="23">
        <v>25</v>
      </c>
    </row>
    <row r="9" spans="1:9" ht="88.75" customHeight="1" x14ac:dyDescent="0.2">
      <c r="C9" s="23">
        <v>26</v>
      </c>
      <c r="D9" s="23">
        <v>27</v>
      </c>
      <c r="E9" s="23">
        <v>28</v>
      </c>
      <c r="F9" s="23">
        <v>29</v>
      </c>
      <c r="G9" s="23">
        <v>30</v>
      </c>
      <c r="H9" s="23">
        <v>31</v>
      </c>
      <c r="I9" s="23">
        <v>1</v>
      </c>
    </row>
    <row r="10" spans="1:9" ht="88.75" customHeight="1" x14ac:dyDescent="0.2"/>
    <row r="11" spans="1:9" ht="88.75" customHeight="1" x14ac:dyDescent="0.2"/>
    <row r="12" spans="1:9" ht="88.75" customHeight="1" x14ac:dyDescent="0.2"/>
    <row r="13" spans="1:9" ht="88.75" customHeight="1" x14ac:dyDescent="0.2"/>
    <row r="14" spans="1:9" ht="88.75" customHeight="1" x14ac:dyDescent="0.2"/>
    <row r="15" spans="1:9" ht="88.75" customHeight="1" x14ac:dyDescent="0.2"/>
    <row r="16" spans="1:9" ht="88.75" customHeight="1" x14ac:dyDescent="0.2"/>
    <row r="17" ht="88.75" customHeight="1" x14ac:dyDescent="0.2"/>
    <row r="18" ht="88.75" customHeight="1" x14ac:dyDescent="0.2"/>
    <row r="19" ht="88.75" customHeight="1" x14ac:dyDescent="0.2"/>
    <row r="20" ht="88.75" customHeight="1" x14ac:dyDescent="0.2"/>
    <row r="21" ht="88.75" customHeight="1" x14ac:dyDescent="0.2"/>
    <row r="22" ht="88.75" customHeight="1" x14ac:dyDescent="0.2"/>
    <row r="23" ht="88.75" customHeight="1" x14ac:dyDescent="0.2"/>
    <row r="24" ht="88.75" customHeight="1" x14ac:dyDescent="0.2"/>
    <row r="25" ht="88.75" customHeight="1" x14ac:dyDescent="0.2"/>
    <row r="26" ht="88.75" customHeight="1" x14ac:dyDescent="0.2"/>
    <row r="27" ht="88.75" customHeight="1" x14ac:dyDescent="0.2"/>
    <row r="28" ht="88.75" customHeight="1" x14ac:dyDescent="0.2"/>
    <row r="29" ht="88.75" customHeight="1" x14ac:dyDescent="0.2"/>
    <row r="30" ht="88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6DE05-46FF-4E58-8B62-7077F35EA65D}">
  <dimension ref="A1:GC142"/>
  <sheetViews>
    <sheetView topLeftCell="A63" workbookViewId="0">
      <selection activeCell="A115" sqref="A115:XFD116"/>
    </sheetView>
  </sheetViews>
  <sheetFormatPr baseColWidth="10" defaultColWidth="8.83203125" defaultRowHeight="15" x14ac:dyDescent="0.2"/>
  <cols>
    <col min="2" max="2" width="52.33203125" bestFit="1" customWidth="1"/>
    <col min="3" max="3" width="53" customWidth="1"/>
    <col min="4" max="4" width="44.83203125" bestFit="1" customWidth="1"/>
    <col min="5" max="5" width="11" bestFit="1" customWidth="1"/>
    <col min="6" max="6" width="17.33203125" bestFit="1" customWidth="1"/>
    <col min="7" max="7" width="14.33203125" bestFit="1" customWidth="1"/>
    <col min="8" max="8" width="10.33203125" bestFit="1" customWidth="1"/>
    <col min="9" max="9" width="18.83203125" bestFit="1" customWidth="1"/>
    <col min="10" max="10" width="10.33203125" bestFit="1" customWidth="1"/>
    <col min="11" max="11" width="17" bestFit="1" customWidth="1"/>
  </cols>
  <sheetData>
    <row r="1" spans="2:185" x14ac:dyDescent="0.2">
      <c r="B1" s="34" t="s">
        <v>380</v>
      </c>
      <c r="F1" s="21"/>
      <c r="G1" s="21"/>
      <c r="H1" s="21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</row>
    <row r="2" spans="2:185" x14ac:dyDescent="0.2">
      <c r="B2" s="6" t="s">
        <v>381</v>
      </c>
      <c r="C2" s="6"/>
      <c r="D2" s="6" t="s">
        <v>382</v>
      </c>
      <c r="E2" s="6" t="s">
        <v>383</v>
      </c>
      <c r="F2" s="19">
        <v>45112</v>
      </c>
      <c r="G2" s="19"/>
      <c r="H2" s="19">
        <v>45118</v>
      </c>
      <c r="I2" s="6" t="s">
        <v>384</v>
      </c>
      <c r="J2" s="6" t="s">
        <v>385</v>
      </c>
      <c r="K2" s="3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</row>
    <row r="3" spans="2:185" x14ac:dyDescent="0.2">
      <c r="B3" s="6" t="s">
        <v>386</v>
      </c>
      <c r="C3" s="6"/>
      <c r="D3" s="7"/>
      <c r="E3" s="7"/>
      <c r="F3" s="19"/>
      <c r="G3" s="19"/>
      <c r="H3" s="19"/>
      <c r="I3" s="31"/>
      <c r="J3" s="6" t="s">
        <v>385</v>
      </c>
      <c r="K3" s="37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</row>
    <row r="4" spans="2:185" x14ac:dyDescent="0.2">
      <c r="B4" s="11" t="s">
        <v>387</v>
      </c>
      <c r="C4" s="6"/>
      <c r="D4" s="6" t="s">
        <v>388</v>
      </c>
      <c r="E4" s="6" t="s">
        <v>388</v>
      </c>
      <c r="F4" s="19">
        <v>44959</v>
      </c>
      <c r="G4" s="19"/>
      <c r="H4" s="19">
        <v>45030</v>
      </c>
      <c r="I4" s="6" t="s">
        <v>26</v>
      </c>
      <c r="J4" s="6" t="s">
        <v>385</v>
      </c>
      <c r="K4" s="3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</row>
    <row r="5" spans="2:185" x14ac:dyDescent="0.2">
      <c r="B5" s="6" t="s">
        <v>389</v>
      </c>
      <c r="C5" s="6"/>
      <c r="D5" s="6"/>
      <c r="E5" s="6"/>
      <c r="F5" s="19"/>
      <c r="G5" s="19"/>
      <c r="H5" s="19"/>
      <c r="I5" s="31"/>
      <c r="J5" s="32" t="s">
        <v>385</v>
      </c>
      <c r="K5" s="3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</row>
    <row r="6" spans="2:185" x14ac:dyDescent="0.2">
      <c r="B6" s="6" t="s">
        <v>390</v>
      </c>
      <c r="C6" s="6"/>
      <c r="D6" s="36"/>
      <c r="E6" s="36"/>
      <c r="F6" s="19">
        <v>45236</v>
      </c>
      <c r="G6" s="19" t="s">
        <v>391</v>
      </c>
      <c r="H6" s="19"/>
      <c r="I6" s="6" t="s">
        <v>26</v>
      </c>
      <c r="J6" s="32" t="s">
        <v>385</v>
      </c>
      <c r="K6" s="6" t="s">
        <v>392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</row>
    <row r="7" spans="2:185" x14ac:dyDescent="0.2">
      <c r="B7" s="6" t="s">
        <v>393</v>
      </c>
      <c r="C7" s="6"/>
      <c r="D7" s="6"/>
      <c r="E7" s="6"/>
      <c r="F7" s="19"/>
      <c r="G7" s="19"/>
      <c r="H7" s="19">
        <v>45153</v>
      </c>
      <c r="I7" s="11" t="s">
        <v>384</v>
      </c>
      <c r="J7" s="6" t="s">
        <v>385</v>
      </c>
      <c r="K7" s="35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</row>
    <row r="8" spans="2:185" x14ac:dyDescent="0.2">
      <c r="B8" s="11" t="s">
        <v>394</v>
      </c>
      <c r="C8" s="6"/>
      <c r="D8" s="11"/>
      <c r="E8" s="11"/>
      <c r="F8" s="20"/>
      <c r="G8" s="20"/>
      <c r="H8" s="20"/>
      <c r="I8" s="11"/>
      <c r="J8" s="11" t="s">
        <v>385</v>
      </c>
      <c r="K8" s="35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</row>
    <row r="9" spans="2:185" x14ac:dyDescent="0.2">
      <c r="B9" s="11" t="s">
        <v>395</v>
      </c>
      <c r="C9" s="11"/>
      <c r="D9" s="11"/>
      <c r="E9" s="11"/>
      <c r="F9" s="11"/>
      <c r="G9" s="11"/>
      <c r="H9" s="11"/>
      <c r="I9" s="5" t="s">
        <v>26</v>
      </c>
      <c r="J9" s="11" t="s">
        <v>396</v>
      </c>
      <c r="K9" s="37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</row>
    <row r="10" spans="2:185" x14ac:dyDescent="0.2">
      <c r="B10" s="6" t="s">
        <v>397</v>
      </c>
      <c r="C10" s="7"/>
      <c r="D10" s="7"/>
      <c r="E10" s="7"/>
      <c r="F10" s="19"/>
      <c r="G10" s="19"/>
      <c r="H10" s="19"/>
      <c r="I10" s="31"/>
      <c r="J10" s="6" t="s">
        <v>398</v>
      </c>
      <c r="K10" s="3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</row>
    <row r="11" spans="2:185" x14ac:dyDescent="0.2">
      <c r="B11" s="6" t="s">
        <v>238</v>
      </c>
      <c r="C11" s="10"/>
      <c r="D11" s="10"/>
      <c r="E11" s="10"/>
      <c r="F11" s="11"/>
      <c r="G11" s="11"/>
      <c r="H11" s="11"/>
      <c r="I11" s="11"/>
      <c r="J11" s="6" t="s">
        <v>385</v>
      </c>
      <c r="K11" s="3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</row>
    <row r="12" spans="2:185" x14ac:dyDescent="0.2">
      <c r="B12" s="11" t="s">
        <v>399</v>
      </c>
      <c r="C12" s="6"/>
      <c r="D12" s="6"/>
      <c r="E12" s="6"/>
      <c r="F12" s="19"/>
      <c r="G12" s="19"/>
      <c r="H12" s="19">
        <v>44988</v>
      </c>
      <c r="I12" s="6" t="s">
        <v>26</v>
      </c>
      <c r="J12" s="6" t="s">
        <v>385</v>
      </c>
      <c r="K12" s="3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</row>
    <row r="13" spans="2:185" x14ac:dyDescent="0.2">
      <c r="B13" s="11" t="s">
        <v>400</v>
      </c>
      <c r="C13" s="6"/>
      <c r="D13" s="6" t="s">
        <v>388</v>
      </c>
      <c r="E13" s="6" t="s">
        <v>401</v>
      </c>
      <c r="F13" s="19"/>
      <c r="G13" s="19" t="s">
        <v>15</v>
      </c>
      <c r="H13" s="20">
        <v>45170</v>
      </c>
      <c r="I13" s="31" t="s">
        <v>26</v>
      </c>
      <c r="J13" s="6" t="s">
        <v>385</v>
      </c>
      <c r="K13" s="3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</row>
    <row r="14" spans="2:185" ht="16" x14ac:dyDescent="0.2">
      <c r="B14" s="6" t="s">
        <v>214</v>
      </c>
      <c r="C14" s="25"/>
      <c r="D14" s="25" t="s">
        <v>382</v>
      </c>
      <c r="E14" s="25" t="s">
        <v>382</v>
      </c>
      <c r="F14" s="14"/>
      <c r="G14" s="20" t="s">
        <v>402</v>
      </c>
      <c r="H14" s="11"/>
      <c r="I14" s="11"/>
      <c r="J14" s="6" t="s">
        <v>385</v>
      </c>
      <c r="K14" s="37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</row>
    <row r="15" spans="2:185" x14ac:dyDescent="0.2">
      <c r="B15" s="11" t="s">
        <v>403</v>
      </c>
      <c r="C15" s="6"/>
      <c r="D15" s="11"/>
      <c r="E15" s="6" t="s">
        <v>401</v>
      </c>
      <c r="F15" s="20"/>
      <c r="G15" s="20" t="s">
        <v>404</v>
      </c>
      <c r="H15" s="20"/>
      <c r="I15" s="6"/>
      <c r="J15" s="6" t="s">
        <v>385</v>
      </c>
      <c r="K15" s="35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</row>
    <row r="16" spans="2:185" x14ac:dyDescent="0.2">
      <c r="B16" s="6" t="s">
        <v>405</v>
      </c>
      <c r="C16" s="6"/>
      <c r="D16" s="6"/>
      <c r="E16" s="6"/>
      <c r="F16" s="19">
        <v>45046</v>
      </c>
      <c r="G16" s="19"/>
      <c r="H16" s="19">
        <v>45042</v>
      </c>
      <c r="I16" s="6" t="s">
        <v>406</v>
      </c>
      <c r="J16" s="6" t="s">
        <v>407</v>
      </c>
      <c r="K16" s="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</row>
    <row r="17" spans="2:185" x14ac:dyDescent="0.2">
      <c r="B17" s="6" t="s">
        <v>408</v>
      </c>
      <c r="C17" s="6"/>
      <c r="D17" s="36"/>
      <c r="E17" s="36"/>
      <c r="F17" s="19">
        <v>45272</v>
      </c>
      <c r="G17" s="19" t="s">
        <v>409</v>
      </c>
      <c r="H17" s="19">
        <v>45275</v>
      </c>
      <c r="I17" s="6" t="s">
        <v>410</v>
      </c>
      <c r="J17" s="32" t="s">
        <v>385</v>
      </c>
      <c r="K17" s="6" t="s">
        <v>411</v>
      </c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</row>
    <row r="18" spans="2:185" x14ac:dyDescent="0.2">
      <c r="B18" s="6" t="s">
        <v>412</v>
      </c>
      <c r="C18" s="6"/>
      <c r="D18" s="6"/>
      <c r="E18" s="6"/>
      <c r="F18" s="19"/>
      <c r="G18" s="19"/>
      <c r="H18" s="19">
        <v>45091</v>
      </c>
      <c r="I18" s="6" t="s">
        <v>413</v>
      </c>
      <c r="J18" s="6" t="s">
        <v>385</v>
      </c>
      <c r="K18" s="3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</row>
    <row r="19" spans="2:185" ht="16" x14ac:dyDescent="0.2">
      <c r="B19" s="6" t="s">
        <v>414</v>
      </c>
      <c r="C19" s="10"/>
      <c r="D19" s="10" t="s">
        <v>388</v>
      </c>
      <c r="E19" s="10" t="s">
        <v>382</v>
      </c>
      <c r="F19" s="19"/>
      <c r="G19" s="19" t="s">
        <v>415</v>
      </c>
      <c r="H19" s="19">
        <v>45093</v>
      </c>
      <c r="I19" s="6"/>
      <c r="J19" s="6" t="s">
        <v>385</v>
      </c>
      <c r="K19" s="3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</row>
    <row r="20" spans="2:185" x14ac:dyDescent="0.2">
      <c r="B20" s="6" t="s">
        <v>416</v>
      </c>
      <c r="C20" s="6"/>
      <c r="D20" s="36"/>
      <c r="E20" s="36"/>
      <c r="F20" s="20">
        <v>44934</v>
      </c>
      <c r="G20" s="20" t="s">
        <v>417</v>
      </c>
      <c r="H20" s="20">
        <v>45323</v>
      </c>
      <c r="I20" s="6" t="s">
        <v>410</v>
      </c>
      <c r="J20" s="32" t="s">
        <v>385</v>
      </c>
      <c r="K20" s="38" t="s">
        <v>418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</row>
    <row r="21" spans="2:185" x14ac:dyDescent="0.2">
      <c r="B21" s="6" t="s">
        <v>419</v>
      </c>
      <c r="C21" s="6"/>
      <c r="D21" s="6" t="s">
        <v>388</v>
      </c>
      <c r="E21" s="6" t="s">
        <v>401</v>
      </c>
      <c r="F21" s="19"/>
      <c r="G21" s="19" t="s">
        <v>415</v>
      </c>
      <c r="H21" s="19">
        <v>45153</v>
      </c>
      <c r="I21" s="31" t="s">
        <v>26</v>
      </c>
      <c r="J21" s="6" t="s">
        <v>385</v>
      </c>
      <c r="K21" s="3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</row>
    <row r="22" spans="2:185" x14ac:dyDescent="0.2">
      <c r="B22" s="6" t="s">
        <v>420</v>
      </c>
      <c r="C22" s="7"/>
      <c r="D22" s="37"/>
      <c r="E22" s="37"/>
      <c r="F22" s="19" t="s">
        <v>421</v>
      </c>
      <c r="G22" s="19" t="s">
        <v>422</v>
      </c>
      <c r="H22" s="19"/>
      <c r="I22" s="6" t="s">
        <v>410</v>
      </c>
      <c r="J22" s="11" t="s">
        <v>385</v>
      </c>
      <c r="K22" s="6" t="s">
        <v>411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</row>
    <row r="23" spans="2:185" x14ac:dyDescent="0.2">
      <c r="B23" s="6" t="s">
        <v>423</v>
      </c>
      <c r="C23" s="10"/>
      <c r="D23" s="10"/>
      <c r="E23" s="10"/>
      <c r="F23" s="19"/>
      <c r="G23" s="19"/>
      <c r="H23" s="19"/>
      <c r="I23" s="6"/>
      <c r="J23" s="6" t="s">
        <v>385</v>
      </c>
      <c r="K23" s="37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</row>
    <row r="24" spans="2:185" x14ac:dyDescent="0.2">
      <c r="B24" s="11" t="s">
        <v>424</v>
      </c>
      <c r="C24" s="6"/>
      <c r="D24" s="6"/>
      <c r="E24" s="6"/>
      <c r="F24" s="19"/>
      <c r="G24" s="19" t="s">
        <v>203</v>
      </c>
      <c r="H24" s="20">
        <v>45194</v>
      </c>
      <c r="I24" s="11" t="s">
        <v>384</v>
      </c>
      <c r="J24" s="11" t="s">
        <v>407</v>
      </c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</row>
    <row r="25" spans="2:185" x14ac:dyDescent="0.2">
      <c r="B25" s="6" t="s">
        <v>425</v>
      </c>
      <c r="C25" s="8"/>
      <c r="D25" s="8"/>
      <c r="E25" s="8"/>
      <c r="F25" s="20"/>
      <c r="G25" s="20" t="s">
        <v>426</v>
      </c>
      <c r="H25" s="20"/>
      <c r="I25" s="6"/>
      <c r="J25" s="6" t="s">
        <v>398</v>
      </c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</row>
    <row r="26" spans="2:185" x14ac:dyDescent="0.2">
      <c r="B26" s="40" t="s">
        <v>427</v>
      </c>
      <c r="C26" s="6" t="s">
        <v>428</v>
      </c>
      <c r="D26" s="6"/>
      <c r="E26" s="6"/>
      <c r="F26" s="20" t="s">
        <v>421</v>
      </c>
      <c r="G26" s="19" t="s">
        <v>409</v>
      </c>
      <c r="H26" s="41">
        <v>45352</v>
      </c>
      <c r="I26" s="6" t="s">
        <v>26</v>
      </c>
      <c r="J26" s="32" t="s">
        <v>385</v>
      </c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</row>
    <row r="27" spans="2:185" x14ac:dyDescent="0.2">
      <c r="B27" s="40" t="s">
        <v>429</v>
      </c>
      <c r="C27" s="6" t="s">
        <v>428</v>
      </c>
      <c r="D27" s="6"/>
      <c r="E27" s="6"/>
      <c r="F27" s="20" t="s">
        <v>421</v>
      </c>
      <c r="G27" s="19" t="s">
        <v>409</v>
      </c>
      <c r="H27" s="41">
        <v>45352</v>
      </c>
      <c r="I27" s="6" t="s">
        <v>26</v>
      </c>
      <c r="J27" s="32" t="s">
        <v>385</v>
      </c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6"/>
      <c r="FV27" s="26"/>
      <c r="FW27" s="26"/>
      <c r="FX27" s="26"/>
      <c r="FY27" s="26"/>
      <c r="FZ27" s="26"/>
      <c r="GA27" s="26"/>
      <c r="GB27" s="26"/>
    </row>
    <row r="28" spans="2:185" x14ac:dyDescent="0.2">
      <c r="B28" s="11" t="s">
        <v>430</v>
      </c>
      <c r="C28" s="6" t="s">
        <v>428</v>
      </c>
      <c r="D28" s="6"/>
      <c r="E28" s="6"/>
      <c r="F28" s="20"/>
      <c r="G28" s="20" t="s">
        <v>203</v>
      </c>
      <c r="H28" s="41">
        <v>45255</v>
      </c>
      <c r="I28" s="5" t="s">
        <v>26</v>
      </c>
      <c r="J28" s="32" t="s">
        <v>385</v>
      </c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/>
      <c r="GA28" s="26"/>
      <c r="GB28" s="26"/>
    </row>
    <row r="29" spans="2:185" x14ac:dyDescent="0.2">
      <c r="B29" s="6" t="s">
        <v>431</v>
      </c>
      <c r="C29" s="6" t="s">
        <v>432</v>
      </c>
      <c r="D29" s="6"/>
      <c r="E29" s="6"/>
      <c r="F29" s="19"/>
      <c r="G29" s="19" t="s">
        <v>278</v>
      </c>
      <c r="H29" s="41">
        <v>44877</v>
      </c>
      <c r="I29" s="6"/>
      <c r="J29" s="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6"/>
      <c r="FM29" s="26"/>
      <c r="FN29" s="26"/>
      <c r="FO29" s="26"/>
      <c r="FP29" s="26"/>
      <c r="FQ29" s="26"/>
      <c r="FR29" s="26"/>
      <c r="FS29" s="26"/>
      <c r="FT29" s="26"/>
      <c r="FU29" s="26"/>
      <c r="FV29" s="26"/>
      <c r="FW29" s="26"/>
      <c r="FX29" s="26"/>
      <c r="FY29" s="26"/>
      <c r="FZ29" s="26"/>
      <c r="GA29" s="26"/>
      <c r="GB29" s="26"/>
    </row>
    <row r="30" spans="2:185" x14ac:dyDescent="0.2">
      <c r="B30" s="6" t="s">
        <v>433</v>
      </c>
      <c r="C30" s="6" t="s">
        <v>432</v>
      </c>
      <c r="D30" s="6"/>
      <c r="E30" s="6"/>
      <c r="F30" s="19"/>
      <c r="G30" s="19" t="s">
        <v>402</v>
      </c>
      <c r="H30" s="41">
        <v>45061</v>
      </c>
      <c r="I30" s="31" t="s">
        <v>26</v>
      </c>
      <c r="J30" s="6" t="s">
        <v>385</v>
      </c>
      <c r="K30" s="28"/>
      <c r="L30" s="28"/>
      <c r="M30" s="28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/>
      <c r="GA30" s="26"/>
      <c r="GB30" s="26"/>
    </row>
    <row r="31" spans="2:185" x14ac:dyDescent="0.2">
      <c r="B31" s="11" t="s">
        <v>434</v>
      </c>
      <c r="C31" s="6" t="s">
        <v>432</v>
      </c>
      <c r="D31" s="6"/>
      <c r="E31" s="6"/>
      <c r="F31" s="19">
        <v>45352</v>
      </c>
      <c r="G31" s="19" t="s">
        <v>417</v>
      </c>
      <c r="H31" s="41">
        <v>45356</v>
      </c>
      <c r="I31" s="8" t="s">
        <v>148</v>
      </c>
      <c r="J31" s="32" t="s">
        <v>385</v>
      </c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6"/>
      <c r="FV31" s="26"/>
      <c r="FW31" s="26"/>
      <c r="FX31" s="26"/>
      <c r="FY31" s="26"/>
      <c r="FZ31" s="26"/>
      <c r="GA31" s="26"/>
      <c r="GB31" s="26"/>
    </row>
    <row r="32" spans="2:185" ht="32" x14ac:dyDescent="0.2">
      <c r="B32" s="11" t="s">
        <v>435</v>
      </c>
      <c r="C32" s="10" t="s">
        <v>436</v>
      </c>
      <c r="D32" s="10"/>
      <c r="E32" s="10"/>
      <c r="F32" s="20"/>
      <c r="G32" s="20" t="s">
        <v>426</v>
      </c>
      <c r="H32" s="41">
        <v>45139</v>
      </c>
      <c r="I32" s="31" t="s">
        <v>26</v>
      </c>
      <c r="J32" s="11" t="s">
        <v>385</v>
      </c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</row>
    <row r="33" spans="2:184" x14ac:dyDescent="0.2">
      <c r="B33" s="11" t="s">
        <v>437</v>
      </c>
      <c r="C33" s="6" t="s">
        <v>438</v>
      </c>
      <c r="D33" s="6"/>
      <c r="E33" s="6"/>
      <c r="F33" s="19">
        <v>45323</v>
      </c>
      <c r="G33" s="19" t="s">
        <v>417</v>
      </c>
      <c r="H33" s="41">
        <v>44957</v>
      </c>
      <c r="I33" s="6" t="s">
        <v>410</v>
      </c>
      <c r="J33" s="32" t="s">
        <v>385</v>
      </c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</row>
    <row r="34" spans="2:184" x14ac:dyDescent="0.2">
      <c r="B34" s="11" t="s">
        <v>439</v>
      </c>
      <c r="C34" s="7" t="s">
        <v>440</v>
      </c>
      <c r="D34" s="7"/>
      <c r="E34" s="7"/>
      <c r="F34" s="19">
        <v>45352</v>
      </c>
      <c r="G34" s="19" t="s">
        <v>417</v>
      </c>
      <c r="H34" s="41">
        <v>45355</v>
      </c>
      <c r="I34" s="8" t="s">
        <v>148</v>
      </c>
      <c r="J34" s="32" t="s">
        <v>385</v>
      </c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6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6"/>
      <c r="FW34" s="26"/>
      <c r="FX34" s="26"/>
      <c r="FY34" s="26"/>
      <c r="FZ34" s="26"/>
      <c r="GA34" s="26"/>
      <c r="GB34" s="26"/>
    </row>
    <row r="35" spans="2:184" ht="32" x14ac:dyDescent="0.2">
      <c r="B35" s="6" t="s">
        <v>441</v>
      </c>
      <c r="C35" s="10" t="s">
        <v>442</v>
      </c>
      <c r="D35" s="10"/>
      <c r="E35" s="10"/>
      <c r="F35" s="19">
        <v>45458</v>
      </c>
      <c r="G35" s="19" t="s">
        <v>409</v>
      </c>
      <c r="H35" s="19">
        <v>45474</v>
      </c>
      <c r="I35" s="6" t="s">
        <v>43</v>
      </c>
      <c r="J35" s="6" t="s">
        <v>443</v>
      </c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</row>
    <row r="36" spans="2:184" x14ac:dyDescent="0.2">
      <c r="B36" s="11" t="s">
        <v>394</v>
      </c>
      <c r="C36" s="8" t="s">
        <v>444</v>
      </c>
      <c r="D36" s="8"/>
      <c r="E36" s="8"/>
      <c r="F36" s="19">
        <v>45362</v>
      </c>
      <c r="G36" s="19" t="s">
        <v>409</v>
      </c>
      <c r="H36" s="41">
        <v>45370</v>
      </c>
      <c r="I36" s="6" t="s">
        <v>445</v>
      </c>
      <c r="J36" s="32" t="s">
        <v>385</v>
      </c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26"/>
      <c r="FL36" s="26"/>
      <c r="FM36" s="26"/>
      <c r="FN36" s="26"/>
      <c r="FO36" s="26"/>
      <c r="FP36" s="26"/>
      <c r="FQ36" s="26"/>
      <c r="FR36" s="26"/>
      <c r="FS36" s="26"/>
      <c r="FT36" s="26"/>
      <c r="FU36" s="26"/>
      <c r="FV36" s="26"/>
      <c r="FW36" s="26"/>
      <c r="FX36" s="26"/>
      <c r="FY36" s="26"/>
      <c r="FZ36" s="26"/>
      <c r="GA36" s="26"/>
      <c r="GB36" s="26"/>
    </row>
    <row r="37" spans="2:184" ht="16" x14ac:dyDescent="0.2">
      <c r="B37" s="6" t="s">
        <v>446</v>
      </c>
      <c r="C37" s="10" t="s">
        <v>447</v>
      </c>
      <c r="D37" s="10"/>
      <c r="E37" s="10"/>
      <c r="F37" s="20" t="s">
        <v>421</v>
      </c>
      <c r="G37" s="19" t="s">
        <v>448</v>
      </c>
      <c r="H37" s="41">
        <v>45366</v>
      </c>
      <c r="I37" s="6" t="s">
        <v>410</v>
      </c>
      <c r="J37" s="32" t="s">
        <v>385</v>
      </c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  <c r="FR37" s="26"/>
      <c r="FS37" s="26"/>
      <c r="FT37" s="26"/>
      <c r="FU37" s="26"/>
      <c r="FV37" s="26"/>
      <c r="FW37" s="26"/>
      <c r="FX37" s="26"/>
      <c r="FY37" s="26"/>
      <c r="FZ37" s="26"/>
      <c r="GA37" s="26"/>
      <c r="GB37" s="26"/>
    </row>
    <row r="38" spans="2:184" x14ac:dyDescent="0.2">
      <c r="B38" s="6" t="s">
        <v>449</v>
      </c>
      <c r="C38" s="6" t="s">
        <v>450</v>
      </c>
      <c r="D38" s="38"/>
      <c r="E38" s="8" t="s">
        <v>411</v>
      </c>
      <c r="F38" s="19" t="s">
        <v>451</v>
      </c>
      <c r="G38" s="19" t="s">
        <v>452</v>
      </c>
      <c r="H38" s="19">
        <v>45464</v>
      </c>
      <c r="I38" s="6" t="s">
        <v>26</v>
      </c>
      <c r="J38" s="11" t="s">
        <v>385</v>
      </c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6"/>
    </row>
    <row r="39" spans="2:184" x14ac:dyDescent="0.2">
      <c r="B39" s="6" t="s">
        <v>453</v>
      </c>
      <c r="C39" s="10"/>
      <c r="D39" s="10"/>
      <c r="E39" s="10"/>
      <c r="F39" s="19" t="s">
        <v>421</v>
      </c>
      <c r="G39" s="19" t="s">
        <v>454</v>
      </c>
      <c r="H39" s="41">
        <v>45000</v>
      </c>
      <c r="I39" s="6" t="s">
        <v>17</v>
      </c>
      <c r="J39" s="11" t="s">
        <v>385</v>
      </c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</row>
    <row r="40" spans="2:184" ht="16" customHeight="1" x14ac:dyDescent="0.2">
      <c r="B40" s="6" t="s">
        <v>455</v>
      </c>
      <c r="C40" s="10" t="s">
        <v>456</v>
      </c>
      <c r="D40" s="10"/>
      <c r="E40" s="10"/>
      <c r="F40" s="20" t="s">
        <v>421</v>
      </c>
      <c r="G40" s="20" t="s">
        <v>454</v>
      </c>
      <c r="H40" s="41">
        <v>45000</v>
      </c>
      <c r="I40" s="6" t="s">
        <v>17</v>
      </c>
      <c r="J40" s="11" t="s">
        <v>457</v>
      </c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</row>
    <row r="41" spans="2:184" ht="13" customHeight="1" x14ac:dyDescent="0.2">
      <c r="B41" s="6" t="s">
        <v>458</v>
      </c>
      <c r="C41" s="10"/>
      <c r="D41" s="10"/>
      <c r="E41" s="10"/>
      <c r="F41" s="20" t="s">
        <v>421</v>
      </c>
      <c r="G41" s="20" t="s">
        <v>454</v>
      </c>
      <c r="H41" s="41">
        <v>45383</v>
      </c>
      <c r="I41" s="11" t="s">
        <v>26</v>
      </c>
      <c r="J41" s="32" t="s">
        <v>385</v>
      </c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</row>
    <row r="42" spans="2:184" x14ac:dyDescent="0.2">
      <c r="B42" s="6" t="s">
        <v>459</v>
      </c>
      <c r="C42" s="6"/>
      <c r="D42" s="38">
        <v>45488</v>
      </c>
      <c r="E42" s="19">
        <v>45488</v>
      </c>
      <c r="F42" s="20" t="s">
        <v>460</v>
      </c>
      <c r="G42" s="19">
        <v>45493</v>
      </c>
      <c r="H42" s="6" t="s">
        <v>148</v>
      </c>
      <c r="I42" s="11" t="s">
        <v>385</v>
      </c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  <c r="FW42" s="26"/>
      <c r="FX42" s="26"/>
      <c r="FY42" s="26"/>
      <c r="FZ42" s="26"/>
      <c r="GA42" s="26"/>
    </row>
    <row r="43" spans="2:184" x14ac:dyDescent="0.2">
      <c r="B43" s="6" t="s">
        <v>461</v>
      </c>
      <c r="C43" s="6" t="s">
        <v>462</v>
      </c>
      <c r="D43" s="6"/>
      <c r="E43" s="19"/>
      <c r="F43" s="19" t="s">
        <v>25</v>
      </c>
      <c r="G43" s="41">
        <v>45170</v>
      </c>
      <c r="H43" s="31" t="s">
        <v>26</v>
      </c>
      <c r="I43" s="11" t="s">
        <v>385</v>
      </c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</row>
    <row r="44" spans="2:184" ht="16" x14ac:dyDescent="0.2">
      <c r="B44" s="6" t="s">
        <v>463</v>
      </c>
      <c r="C44" s="39" t="s">
        <v>464</v>
      </c>
      <c r="D44" s="39" t="s">
        <v>28</v>
      </c>
      <c r="E44" s="19">
        <v>45502</v>
      </c>
      <c r="F44" s="20" t="s">
        <v>25</v>
      </c>
      <c r="G44" s="19">
        <v>45502</v>
      </c>
      <c r="H44" s="8" t="s">
        <v>26</v>
      </c>
      <c r="I44" s="32" t="s">
        <v>385</v>
      </c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</row>
    <row r="45" spans="2:184" x14ac:dyDescent="0.2">
      <c r="B45" s="6" t="s">
        <v>465</v>
      </c>
      <c r="C45" s="6" t="s">
        <v>466</v>
      </c>
      <c r="D45" s="6" t="s">
        <v>467</v>
      </c>
      <c r="E45" s="20"/>
      <c r="F45" s="19" t="s">
        <v>203</v>
      </c>
      <c r="G45" s="20">
        <v>45503</v>
      </c>
      <c r="H45" s="6" t="s">
        <v>468</v>
      </c>
      <c r="I45" s="11" t="s">
        <v>385</v>
      </c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</row>
    <row r="46" spans="2:184" ht="16" x14ac:dyDescent="0.2">
      <c r="B46" s="43" t="s">
        <v>469</v>
      </c>
      <c r="C46" s="44" t="s">
        <v>470</v>
      </c>
      <c r="D46" s="45" t="s">
        <v>28</v>
      </c>
      <c r="E46" s="46">
        <v>45453</v>
      </c>
      <c r="F46" s="46" t="s">
        <v>402</v>
      </c>
      <c r="G46" s="47">
        <v>45490</v>
      </c>
      <c r="H46" s="48" t="s">
        <v>26</v>
      </c>
      <c r="I46" s="49" t="s">
        <v>385</v>
      </c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  <c r="EY46" s="50"/>
      <c r="EZ46" s="50"/>
      <c r="FA46" s="50"/>
      <c r="FB46" s="50"/>
      <c r="FC46" s="50"/>
      <c r="FD46" s="50"/>
      <c r="FE46" s="50"/>
      <c r="FF46" s="50"/>
      <c r="FG46" s="50"/>
      <c r="FH46" s="50"/>
      <c r="FI46" s="50"/>
      <c r="FJ46" s="50"/>
      <c r="FK46" s="50"/>
      <c r="FL46" s="50"/>
      <c r="FM46" s="50"/>
      <c r="FN46" s="50"/>
      <c r="FO46" s="50"/>
      <c r="FP46" s="50"/>
      <c r="FQ46" s="50"/>
      <c r="FR46" s="50"/>
      <c r="FS46" s="50"/>
      <c r="FT46" s="50"/>
      <c r="FU46" s="50"/>
      <c r="FV46" s="50"/>
      <c r="FW46" s="50"/>
      <c r="FX46" s="50"/>
      <c r="FY46" s="50"/>
      <c r="FZ46" s="50"/>
      <c r="GA46" s="50"/>
    </row>
    <row r="47" spans="2:184" x14ac:dyDescent="0.2">
      <c r="B47" s="6" t="s">
        <v>471</v>
      </c>
      <c r="C47" s="11" t="s">
        <v>472</v>
      </c>
      <c r="D47" s="11"/>
      <c r="E47" s="20"/>
      <c r="F47" s="20"/>
      <c r="G47" s="20"/>
      <c r="H47" s="6"/>
      <c r="I47" s="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</row>
    <row r="48" spans="2:184" x14ac:dyDescent="0.2">
      <c r="B48" s="6" t="s">
        <v>473</v>
      </c>
      <c r="C48" s="7" t="s">
        <v>474</v>
      </c>
      <c r="D48" s="6" t="s">
        <v>28</v>
      </c>
      <c r="E48" s="19" t="s">
        <v>45</v>
      </c>
      <c r="F48" s="20" t="s">
        <v>25</v>
      </c>
      <c r="G48" s="19">
        <v>45497</v>
      </c>
      <c r="H48" s="8" t="s">
        <v>26</v>
      </c>
      <c r="I48" s="11" t="s">
        <v>385</v>
      </c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  <c r="FW48" s="26"/>
      <c r="FX48" s="26"/>
      <c r="FY48" s="26"/>
      <c r="FZ48" s="26"/>
      <c r="GA48" s="26"/>
    </row>
    <row r="49" spans="2:183" ht="16" x14ac:dyDescent="0.2">
      <c r="B49" s="6" t="s">
        <v>475</v>
      </c>
      <c r="C49" s="16" t="s">
        <v>476</v>
      </c>
      <c r="D49" s="16" t="s">
        <v>411</v>
      </c>
      <c r="E49" s="20"/>
      <c r="F49" s="20" t="s">
        <v>402</v>
      </c>
      <c r="G49" s="41">
        <v>45474</v>
      </c>
      <c r="H49" s="11" t="s">
        <v>17</v>
      </c>
      <c r="I49" s="11" t="s">
        <v>385</v>
      </c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26"/>
      <c r="FR49" s="26"/>
      <c r="FS49" s="26"/>
      <c r="FT49" s="26"/>
      <c r="FU49" s="26"/>
      <c r="FV49" s="26"/>
      <c r="FW49" s="26"/>
      <c r="FX49" s="26"/>
      <c r="FY49" s="26"/>
      <c r="FZ49" s="26"/>
      <c r="GA49" s="26"/>
    </row>
    <row r="50" spans="2:183" ht="16" x14ac:dyDescent="0.2">
      <c r="B50" s="6" t="s">
        <v>477</v>
      </c>
      <c r="C50" s="6" t="s">
        <v>478</v>
      </c>
      <c r="D50" s="10" t="s">
        <v>411</v>
      </c>
      <c r="E50" s="19" t="s">
        <v>411</v>
      </c>
      <c r="F50" s="19" t="s">
        <v>402</v>
      </c>
      <c r="G50" s="41">
        <v>45444</v>
      </c>
      <c r="H50" s="6" t="s">
        <v>479</v>
      </c>
      <c r="I50" s="6" t="s">
        <v>385</v>
      </c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6"/>
      <c r="EY50" s="26"/>
      <c r="EZ50" s="26"/>
      <c r="FA50" s="26"/>
      <c r="FB50" s="26"/>
      <c r="FC50" s="26"/>
      <c r="FD50" s="26"/>
      <c r="FE50" s="26"/>
      <c r="FF50" s="26"/>
      <c r="FG50" s="26"/>
      <c r="FH50" s="26"/>
      <c r="FI50" s="26"/>
      <c r="FJ50" s="26"/>
      <c r="FK50" s="26"/>
      <c r="FL50" s="26"/>
      <c r="FM50" s="26"/>
      <c r="FN50" s="26"/>
      <c r="FO50" s="26"/>
      <c r="FP50" s="26"/>
      <c r="FQ50" s="26"/>
      <c r="FR50" s="26"/>
      <c r="FS50" s="26"/>
      <c r="FT50" s="26"/>
      <c r="FU50" s="26"/>
      <c r="FV50" s="26"/>
      <c r="FW50" s="26"/>
      <c r="FX50" s="26"/>
      <c r="FY50" s="26"/>
      <c r="FZ50" s="26"/>
      <c r="GA50" s="26"/>
    </row>
    <row r="51" spans="2:183" x14ac:dyDescent="0.2">
      <c r="B51" s="6" t="s">
        <v>480</v>
      </c>
      <c r="C51" s="6" t="s">
        <v>481</v>
      </c>
      <c r="D51" s="52" t="s">
        <v>482</v>
      </c>
      <c r="E51" s="19">
        <v>45528</v>
      </c>
      <c r="F51" s="19" t="s">
        <v>203</v>
      </c>
      <c r="G51" s="19">
        <v>45536</v>
      </c>
      <c r="H51" s="6" t="s">
        <v>26</v>
      </c>
      <c r="I51" s="6" t="s">
        <v>398</v>
      </c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6"/>
      <c r="EY51" s="26"/>
      <c r="EZ51" s="26"/>
      <c r="FA51" s="26"/>
      <c r="FB51" s="26"/>
      <c r="FC51" s="26"/>
      <c r="FD51" s="26"/>
      <c r="FE51" s="26"/>
      <c r="FF51" s="26"/>
      <c r="FG51" s="26"/>
      <c r="FH51" s="26"/>
      <c r="FI51" s="26"/>
      <c r="FJ51" s="26"/>
      <c r="FK51" s="26"/>
      <c r="FL51" s="26"/>
      <c r="FM51" s="26"/>
      <c r="FN51" s="26"/>
      <c r="FO51" s="26"/>
      <c r="FP51" s="26"/>
      <c r="FQ51" s="26"/>
      <c r="FR51" s="26"/>
      <c r="FS51" s="26"/>
      <c r="FT51" s="26"/>
      <c r="FU51" s="26"/>
      <c r="FV51" s="26"/>
      <c r="FW51" s="26"/>
      <c r="FX51" s="26"/>
      <c r="FY51" s="26"/>
      <c r="FZ51" s="26"/>
      <c r="GA51" s="26"/>
    </row>
    <row r="52" spans="2:183" ht="16" x14ac:dyDescent="0.2">
      <c r="B52" s="6" t="s">
        <v>483</v>
      </c>
      <c r="C52" s="10" t="s">
        <v>484</v>
      </c>
      <c r="D52" s="52" t="s">
        <v>485</v>
      </c>
      <c r="E52" s="19">
        <v>45542</v>
      </c>
      <c r="F52" s="19" t="s">
        <v>42</v>
      </c>
      <c r="G52" s="19">
        <v>45561</v>
      </c>
      <c r="H52" s="6" t="s">
        <v>17</v>
      </c>
      <c r="I52" s="11" t="s">
        <v>385</v>
      </c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  <c r="FU52" s="26"/>
      <c r="FV52" s="26"/>
      <c r="FW52" s="26"/>
      <c r="FX52" s="26"/>
      <c r="FY52" s="26"/>
      <c r="FZ52" s="26"/>
      <c r="GA52" s="26"/>
    </row>
    <row r="53" spans="2:183" x14ac:dyDescent="0.2">
      <c r="B53" s="6" t="s">
        <v>486</v>
      </c>
      <c r="C53" s="6" t="s">
        <v>487</v>
      </c>
      <c r="D53" s="52" t="s">
        <v>28</v>
      </c>
      <c r="E53" s="19" t="s">
        <v>411</v>
      </c>
      <c r="F53" s="19" t="s">
        <v>42</v>
      </c>
      <c r="G53" s="19">
        <v>45536</v>
      </c>
      <c r="H53" s="6" t="s">
        <v>488</v>
      </c>
      <c r="I53" s="32" t="s">
        <v>385</v>
      </c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6"/>
    </row>
    <row r="54" spans="2:183" x14ac:dyDescent="0.2">
      <c r="B54" s="6" t="s">
        <v>489</v>
      </c>
      <c r="C54" s="6" t="s">
        <v>490</v>
      </c>
      <c r="D54" s="52"/>
      <c r="E54" s="19"/>
      <c r="F54" s="19" t="s">
        <v>203</v>
      </c>
      <c r="G54" s="41">
        <v>45153</v>
      </c>
      <c r="H54" s="6"/>
      <c r="I54" s="6" t="s">
        <v>385</v>
      </c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6"/>
      <c r="EW54" s="26"/>
      <c r="EX54" s="26"/>
      <c r="EY54" s="26"/>
      <c r="EZ54" s="26"/>
      <c r="FA54" s="26"/>
      <c r="FB54" s="26"/>
      <c r="FC54" s="26"/>
      <c r="FD54" s="26"/>
      <c r="FE54" s="26"/>
      <c r="FF54" s="26"/>
      <c r="FG54" s="26"/>
      <c r="FH54" s="26"/>
      <c r="FI54" s="26"/>
      <c r="FJ54" s="26"/>
      <c r="FK54" s="26"/>
      <c r="FL54" s="26"/>
      <c r="FM54" s="26"/>
      <c r="FN54" s="26"/>
      <c r="FO54" s="26"/>
      <c r="FP54" s="26"/>
      <c r="FQ54" s="26"/>
      <c r="FR54" s="26"/>
      <c r="FS54" s="26"/>
      <c r="FT54" s="26"/>
      <c r="FU54" s="26"/>
      <c r="FV54" s="26"/>
      <c r="FW54" s="26"/>
      <c r="FX54" s="26"/>
      <c r="FY54" s="26"/>
      <c r="FZ54" s="26"/>
      <c r="GA54" s="26"/>
    </row>
    <row r="55" spans="2:183" x14ac:dyDescent="0.2">
      <c r="B55" s="6" t="s">
        <v>491</v>
      </c>
      <c r="C55" s="6" t="s">
        <v>478</v>
      </c>
      <c r="D55" s="52">
        <v>45509</v>
      </c>
      <c r="E55" s="20">
        <v>45505</v>
      </c>
      <c r="F55" s="20" t="s">
        <v>15</v>
      </c>
      <c r="G55" s="20">
        <v>45519</v>
      </c>
      <c r="H55" s="6" t="s">
        <v>488</v>
      </c>
      <c r="I55" s="11" t="s">
        <v>385</v>
      </c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6"/>
      <c r="EY55" s="26"/>
      <c r="EZ55" s="26"/>
      <c r="FA55" s="26"/>
      <c r="FB55" s="26"/>
      <c r="FC55" s="26"/>
      <c r="FD55" s="26"/>
      <c r="FE55" s="26"/>
      <c r="FF55" s="26"/>
      <c r="FG55" s="26"/>
      <c r="FH55" s="26"/>
      <c r="FI55" s="26"/>
      <c r="FJ55" s="26"/>
      <c r="FK55" s="26"/>
      <c r="FL55" s="26"/>
      <c r="FM55" s="26"/>
      <c r="FN55" s="26"/>
      <c r="FO55" s="26"/>
      <c r="FP55" s="26"/>
      <c r="FQ55" s="26"/>
      <c r="FR55" s="26"/>
      <c r="FS55" s="26"/>
      <c r="FT55" s="26"/>
      <c r="FU55" s="26"/>
      <c r="FV55" s="26"/>
      <c r="FW55" s="26"/>
      <c r="FX55" s="26"/>
      <c r="FY55" s="26"/>
      <c r="FZ55" s="26"/>
      <c r="GA55" s="26"/>
    </row>
    <row r="56" spans="2:183" ht="16" x14ac:dyDescent="0.2">
      <c r="B56" s="6" t="s">
        <v>492</v>
      </c>
      <c r="C56" s="6" t="s">
        <v>493</v>
      </c>
      <c r="D56" s="52"/>
      <c r="E56" s="19"/>
      <c r="F56" s="19" t="s">
        <v>494</v>
      </c>
      <c r="G56" s="41">
        <v>45550</v>
      </c>
      <c r="H56" s="33" t="s">
        <v>17</v>
      </c>
      <c r="I56" s="6" t="s">
        <v>385</v>
      </c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6"/>
      <c r="EY56" s="26"/>
      <c r="EZ56" s="26"/>
      <c r="FA56" s="26"/>
      <c r="FB56" s="26"/>
      <c r="FC56" s="26"/>
      <c r="FD56" s="26"/>
      <c r="FE56" s="26"/>
      <c r="FF56" s="26"/>
      <c r="FG56" s="26"/>
      <c r="FH56" s="26"/>
      <c r="FI56" s="26"/>
      <c r="FJ56" s="26"/>
      <c r="FK56" s="26"/>
      <c r="FL56" s="26"/>
      <c r="FM56" s="26"/>
      <c r="FN56" s="26"/>
      <c r="FO56" s="26"/>
      <c r="FP56" s="26"/>
      <c r="FQ56" s="26"/>
      <c r="FR56" s="26"/>
      <c r="FS56" s="26"/>
      <c r="FT56" s="26"/>
      <c r="FU56" s="26"/>
      <c r="FV56" s="26"/>
      <c r="FW56" s="26"/>
      <c r="FX56" s="26"/>
      <c r="FY56" s="26"/>
      <c r="FZ56" s="26"/>
      <c r="GA56" s="26"/>
    </row>
    <row r="57" spans="2:183" ht="16" x14ac:dyDescent="0.2">
      <c r="B57" s="6" t="s">
        <v>495</v>
      </c>
      <c r="C57" s="10" t="s">
        <v>496</v>
      </c>
      <c r="D57" s="53" t="s">
        <v>496</v>
      </c>
      <c r="E57" s="19"/>
      <c r="F57" s="19" t="s">
        <v>402</v>
      </c>
      <c r="G57" s="19">
        <v>45550</v>
      </c>
      <c r="H57" s="11" t="s">
        <v>17</v>
      </c>
      <c r="I57" s="11" t="s">
        <v>385</v>
      </c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26"/>
      <c r="EW57" s="26"/>
      <c r="EX57" s="26"/>
      <c r="EY57" s="26"/>
      <c r="EZ57" s="26"/>
      <c r="FA57" s="26"/>
      <c r="FB57" s="26"/>
      <c r="FC57" s="26"/>
      <c r="FD57" s="26"/>
      <c r="FE57" s="26"/>
      <c r="FF57" s="26"/>
      <c r="FG57" s="26"/>
      <c r="FH57" s="26"/>
      <c r="FI57" s="26"/>
      <c r="FJ57" s="26"/>
      <c r="FK57" s="26"/>
      <c r="FL57" s="26"/>
      <c r="FM57" s="26"/>
      <c r="FN57" s="26"/>
      <c r="FO57" s="26"/>
      <c r="FP57" s="26"/>
      <c r="FQ57" s="26"/>
      <c r="FR57" s="26"/>
      <c r="FS57" s="26"/>
      <c r="FT57" s="26"/>
      <c r="FU57" s="26"/>
      <c r="FV57" s="26"/>
      <c r="FW57" s="26"/>
      <c r="FX57" s="26"/>
      <c r="FY57" s="26"/>
      <c r="FZ57" s="26"/>
      <c r="GA57" s="26"/>
    </row>
    <row r="58" spans="2:183" x14ac:dyDescent="0.2">
      <c r="B58" s="6" t="s">
        <v>497</v>
      </c>
      <c r="C58" s="6" t="s">
        <v>498</v>
      </c>
      <c r="D58" s="52" t="s">
        <v>28</v>
      </c>
      <c r="E58" s="19" t="s">
        <v>499</v>
      </c>
      <c r="F58" s="20" t="s">
        <v>500</v>
      </c>
      <c r="G58" s="19">
        <v>45626</v>
      </c>
      <c r="H58" s="8" t="s">
        <v>26</v>
      </c>
      <c r="I58" s="32" t="s">
        <v>385</v>
      </c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  <c r="EJ58" s="26"/>
      <c r="EK58" s="26"/>
      <c r="EL58" s="26"/>
      <c r="EM58" s="26"/>
      <c r="EN58" s="26"/>
      <c r="EO58" s="26"/>
      <c r="EP58" s="26"/>
      <c r="EQ58" s="26"/>
      <c r="ER58" s="26"/>
      <c r="ES58" s="26"/>
      <c r="ET58" s="26"/>
      <c r="EU58" s="26"/>
      <c r="EV58" s="26"/>
      <c r="EW58" s="26"/>
      <c r="EX58" s="26"/>
      <c r="EY58" s="26"/>
      <c r="EZ58" s="26"/>
      <c r="FA58" s="26"/>
      <c r="FB58" s="26"/>
      <c r="FC58" s="26"/>
      <c r="FD58" s="26"/>
      <c r="FE58" s="26"/>
      <c r="FF58" s="26"/>
      <c r="FG58" s="26"/>
      <c r="FH58" s="26"/>
      <c r="FI58" s="26"/>
      <c r="FJ58" s="26"/>
      <c r="FK58" s="26"/>
      <c r="FL58" s="26"/>
      <c r="FM58" s="26"/>
      <c r="FN58" s="26"/>
      <c r="FO58" s="26"/>
      <c r="FP58" s="26"/>
      <c r="FQ58" s="26"/>
      <c r="FR58" s="26"/>
      <c r="FS58" s="26"/>
      <c r="FT58" s="26"/>
      <c r="FU58" s="26"/>
      <c r="FV58" s="26"/>
      <c r="FW58" s="26"/>
      <c r="FX58" s="26"/>
      <c r="FY58" s="26"/>
      <c r="FZ58" s="26"/>
      <c r="GA58" s="26"/>
    </row>
    <row r="59" spans="2:183" ht="16" x14ac:dyDescent="0.2">
      <c r="B59" s="6" t="s">
        <v>501</v>
      </c>
      <c r="C59" s="8" t="s">
        <v>502</v>
      </c>
      <c r="D59" s="53" t="s">
        <v>411</v>
      </c>
      <c r="E59" s="19">
        <v>45468</v>
      </c>
      <c r="F59" s="19" t="s">
        <v>402</v>
      </c>
      <c r="G59" s="19">
        <v>45170</v>
      </c>
      <c r="H59" s="11" t="s">
        <v>17</v>
      </c>
      <c r="I59" s="32" t="s">
        <v>385</v>
      </c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26"/>
      <c r="EK59" s="26"/>
      <c r="EL59" s="26"/>
      <c r="EM59" s="26"/>
      <c r="EN59" s="26"/>
      <c r="EO59" s="26"/>
      <c r="EP59" s="26"/>
      <c r="EQ59" s="26"/>
      <c r="ER59" s="26"/>
      <c r="ES59" s="26"/>
      <c r="ET59" s="26"/>
      <c r="EU59" s="26"/>
      <c r="EV59" s="26"/>
      <c r="EW59" s="26"/>
      <c r="EX59" s="26"/>
      <c r="EY59" s="26"/>
      <c r="EZ59" s="26"/>
      <c r="FA59" s="26"/>
      <c r="FB59" s="26"/>
      <c r="FC59" s="26"/>
      <c r="FD59" s="26"/>
      <c r="FE59" s="26"/>
      <c r="FF59" s="26"/>
      <c r="FG59" s="26"/>
      <c r="FH59" s="26"/>
      <c r="FI59" s="26"/>
      <c r="FJ59" s="26"/>
      <c r="FK59" s="26"/>
      <c r="FL59" s="26"/>
      <c r="FM59" s="26"/>
      <c r="FN59" s="26"/>
      <c r="FO59" s="26"/>
      <c r="FP59" s="26"/>
      <c r="FQ59" s="26"/>
      <c r="FR59" s="26"/>
      <c r="FS59" s="26"/>
      <c r="FT59" s="26"/>
      <c r="FU59" s="26"/>
      <c r="FV59" s="26"/>
      <c r="FW59" s="26"/>
      <c r="FX59" s="26"/>
      <c r="FY59" s="26"/>
      <c r="FZ59" s="26"/>
      <c r="GA59" s="26"/>
    </row>
    <row r="60" spans="2:183" x14ac:dyDescent="0.2">
      <c r="B60" s="6" t="s">
        <v>503</v>
      </c>
      <c r="C60" s="6" t="s">
        <v>504</v>
      </c>
      <c r="D60" s="52" t="s">
        <v>28</v>
      </c>
      <c r="E60" s="19" t="s">
        <v>451</v>
      </c>
      <c r="F60" s="19" t="s">
        <v>505</v>
      </c>
      <c r="G60" s="19">
        <v>45572</v>
      </c>
      <c r="H60" s="6" t="s">
        <v>43</v>
      </c>
      <c r="I60" s="6" t="s">
        <v>506</v>
      </c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6"/>
      <c r="EY60" s="26"/>
      <c r="EZ60" s="26"/>
      <c r="FA60" s="26"/>
      <c r="FB60" s="26"/>
      <c r="FC60" s="26"/>
      <c r="FD60" s="26"/>
      <c r="FE60" s="26"/>
      <c r="FF60" s="26"/>
      <c r="FG60" s="26"/>
      <c r="FH60" s="26"/>
      <c r="FI60" s="26"/>
      <c r="FJ60" s="26"/>
      <c r="FK60" s="26"/>
      <c r="FL60" s="26"/>
      <c r="FM60" s="26"/>
      <c r="FN60" s="26"/>
      <c r="FO60" s="26"/>
      <c r="FP60" s="26"/>
      <c r="FQ60" s="26"/>
      <c r="FR60" s="26"/>
      <c r="FS60" s="26"/>
      <c r="FT60" s="26"/>
      <c r="FU60" s="26"/>
      <c r="FV60" s="26"/>
      <c r="FW60" s="26"/>
      <c r="FX60" s="26"/>
      <c r="FY60" s="26"/>
      <c r="FZ60" s="26"/>
      <c r="GA60" s="26"/>
    </row>
    <row r="61" spans="2:183" x14ac:dyDescent="0.2">
      <c r="B61" s="6" t="s">
        <v>507</v>
      </c>
      <c r="C61" s="6" t="s">
        <v>508</v>
      </c>
      <c r="D61" s="52">
        <v>45634</v>
      </c>
      <c r="E61" s="20"/>
      <c r="F61" s="19" t="s">
        <v>203</v>
      </c>
      <c r="G61" s="20">
        <v>45627</v>
      </c>
      <c r="H61" s="8" t="s">
        <v>26</v>
      </c>
      <c r="I61" s="32" t="s">
        <v>48</v>
      </c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26"/>
      <c r="EQ61" s="26"/>
      <c r="ER61" s="26"/>
      <c r="ES61" s="26"/>
      <c r="ET61" s="26"/>
      <c r="EU61" s="26"/>
      <c r="EV61" s="26"/>
      <c r="EW61" s="26"/>
      <c r="EX61" s="26"/>
      <c r="EY61" s="26"/>
      <c r="EZ61" s="26"/>
      <c r="FA61" s="26"/>
      <c r="FB61" s="26"/>
      <c r="FC61" s="26"/>
      <c r="FD61" s="26"/>
      <c r="FE61" s="26"/>
      <c r="FF61" s="26"/>
      <c r="FG61" s="26"/>
      <c r="FH61" s="26"/>
      <c r="FI61" s="26"/>
      <c r="FJ61" s="26"/>
      <c r="FK61" s="26"/>
      <c r="FL61" s="26"/>
      <c r="FM61" s="26"/>
      <c r="FN61" s="26"/>
      <c r="FO61" s="26"/>
      <c r="FP61" s="26"/>
      <c r="FQ61" s="26"/>
      <c r="FR61" s="26"/>
      <c r="FS61" s="26"/>
      <c r="FT61" s="26"/>
      <c r="FU61" s="26"/>
      <c r="FV61" s="26"/>
      <c r="FW61" s="26"/>
      <c r="FX61" s="26"/>
      <c r="FY61" s="26"/>
      <c r="FZ61" s="26"/>
      <c r="GA61" s="26"/>
    </row>
    <row r="62" spans="2:183" ht="64" x14ac:dyDescent="0.2">
      <c r="B62" s="6" t="s">
        <v>509</v>
      </c>
      <c r="C62" s="39" t="s">
        <v>510</v>
      </c>
      <c r="D62" s="52" t="s">
        <v>411</v>
      </c>
      <c r="E62" s="19">
        <v>45488</v>
      </c>
      <c r="F62" s="19" t="s">
        <v>42</v>
      </c>
      <c r="G62" s="19">
        <v>45536</v>
      </c>
      <c r="H62" s="8" t="s">
        <v>148</v>
      </c>
      <c r="I62" s="11" t="s">
        <v>385</v>
      </c>
      <c r="J62" s="29"/>
      <c r="K62" s="29"/>
      <c r="L62" s="29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6"/>
      <c r="EY62" s="26"/>
      <c r="EZ62" s="26"/>
      <c r="FA62" s="26"/>
      <c r="FB62" s="26"/>
      <c r="FC62" s="26"/>
      <c r="FD62" s="26"/>
      <c r="FE62" s="26"/>
      <c r="FF62" s="26"/>
      <c r="FG62" s="26"/>
      <c r="FH62" s="26"/>
      <c r="FI62" s="26"/>
      <c r="FJ62" s="26"/>
      <c r="FK62" s="26"/>
      <c r="FL62" s="26"/>
      <c r="FM62" s="26"/>
      <c r="FN62" s="26"/>
      <c r="FO62" s="26"/>
      <c r="FP62" s="26"/>
      <c r="FQ62" s="26"/>
      <c r="FR62" s="26"/>
      <c r="FS62" s="26"/>
      <c r="FT62" s="26"/>
      <c r="FU62" s="26"/>
      <c r="FV62" s="26"/>
      <c r="FW62" s="26"/>
      <c r="FX62" s="26"/>
      <c r="FY62" s="26"/>
      <c r="FZ62" s="26"/>
      <c r="GA62" s="26"/>
    </row>
    <row r="63" spans="2:183" x14ac:dyDescent="0.2">
      <c r="B63" s="6" t="s">
        <v>511</v>
      </c>
      <c r="C63" s="8" t="s">
        <v>512</v>
      </c>
      <c r="D63" s="52">
        <v>45574</v>
      </c>
      <c r="E63" s="19"/>
      <c r="F63" s="19" t="s">
        <v>42</v>
      </c>
      <c r="G63" s="19">
        <v>45587</v>
      </c>
      <c r="H63" s="8" t="s">
        <v>148</v>
      </c>
      <c r="I63" s="11" t="s">
        <v>27</v>
      </c>
      <c r="J63" s="29"/>
      <c r="K63" s="29"/>
      <c r="L63" s="29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  <c r="EJ63" s="26"/>
      <c r="EK63" s="26"/>
      <c r="EL63" s="26"/>
      <c r="EM63" s="26"/>
      <c r="EN63" s="26"/>
      <c r="EO63" s="26"/>
      <c r="EP63" s="26"/>
      <c r="EQ63" s="26"/>
      <c r="ER63" s="26"/>
      <c r="ES63" s="26"/>
      <c r="ET63" s="26"/>
      <c r="EU63" s="26"/>
      <c r="EV63" s="26"/>
      <c r="EW63" s="26"/>
      <c r="EX63" s="26"/>
      <c r="EY63" s="26"/>
      <c r="EZ63" s="26"/>
      <c r="FA63" s="26"/>
      <c r="FB63" s="26"/>
      <c r="FC63" s="26"/>
      <c r="FD63" s="26"/>
      <c r="FE63" s="26"/>
      <c r="FF63" s="26"/>
      <c r="FG63" s="26"/>
      <c r="FH63" s="26"/>
      <c r="FI63" s="26"/>
      <c r="FJ63" s="26"/>
      <c r="FK63" s="26"/>
      <c r="FL63" s="26"/>
      <c r="FM63" s="26"/>
      <c r="FN63" s="26"/>
      <c r="FO63" s="26"/>
      <c r="FP63" s="26"/>
      <c r="FQ63" s="26"/>
      <c r="FR63" s="26"/>
      <c r="FS63" s="26"/>
      <c r="FT63" s="26"/>
      <c r="FU63" s="26"/>
      <c r="FV63" s="26"/>
      <c r="FW63" s="26"/>
      <c r="FX63" s="26"/>
      <c r="FY63" s="26"/>
      <c r="FZ63" s="26"/>
      <c r="GA63" s="26"/>
    </row>
    <row r="64" spans="2:183" x14ac:dyDescent="0.2">
      <c r="B64" s="6" t="s">
        <v>513</v>
      </c>
      <c r="C64" s="6" t="s">
        <v>514</v>
      </c>
      <c r="D64" s="54"/>
      <c r="E64" s="19"/>
      <c r="F64" s="19" t="s">
        <v>415</v>
      </c>
      <c r="G64" s="41">
        <v>45228</v>
      </c>
      <c r="H64" s="31"/>
      <c r="I64" s="6" t="s">
        <v>385</v>
      </c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  <c r="EO64" s="26"/>
      <c r="EP64" s="26"/>
      <c r="EQ64" s="26"/>
      <c r="ER64" s="26"/>
      <c r="ES64" s="26"/>
      <c r="ET64" s="26"/>
      <c r="EU64" s="26"/>
      <c r="EV64" s="26"/>
      <c r="EW64" s="26"/>
      <c r="EX64" s="26"/>
      <c r="EY64" s="26"/>
      <c r="EZ64" s="26"/>
      <c r="FA64" s="26"/>
      <c r="FB64" s="26"/>
      <c r="FC64" s="26"/>
      <c r="FD64" s="26"/>
      <c r="FE64" s="26"/>
      <c r="FF64" s="26"/>
      <c r="FG64" s="26"/>
      <c r="FH64" s="26"/>
      <c r="FI64" s="26"/>
      <c r="FJ64" s="26"/>
      <c r="FK64" s="26"/>
      <c r="FL64" s="26"/>
      <c r="FM64" s="26"/>
      <c r="FN64" s="26"/>
      <c r="FO64" s="26"/>
      <c r="FP64" s="26"/>
      <c r="FQ64" s="26"/>
      <c r="FR64" s="26"/>
      <c r="FS64" s="26"/>
      <c r="FT64" s="26"/>
      <c r="FU64" s="26"/>
      <c r="FV64" s="26"/>
      <c r="FW64" s="26"/>
      <c r="FX64" s="26"/>
      <c r="FY64" s="26"/>
      <c r="FZ64" s="26"/>
      <c r="GA64" s="26"/>
    </row>
    <row r="65" spans="2:183" x14ac:dyDescent="0.2">
      <c r="B65" s="6" t="s">
        <v>515</v>
      </c>
      <c r="C65" s="6" t="s">
        <v>516</v>
      </c>
      <c r="D65" s="52" t="s">
        <v>28</v>
      </c>
      <c r="E65" s="20" t="s">
        <v>411</v>
      </c>
      <c r="F65" s="20" t="s">
        <v>25</v>
      </c>
      <c r="G65" s="41">
        <v>45483</v>
      </c>
      <c r="H65" s="6" t="s">
        <v>479</v>
      </c>
      <c r="I65" s="32" t="s">
        <v>385</v>
      </c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  <c r="EJ65" s="26"/>
      <c r="EK65" s="26"/>
      <c r="EL65" s="26"/>
      <c r="EM65" s="26"/>
      <c r="EN65" s="26"/>
      <c r="EO65" s="26"/>
      <c r="EP65" s="26"/>
      <c r="EQ65" s="26"/>
      <c r="ER65" s="26"/>
      <c r="ES65" s="26"/>
      <c r="ET65" s="26"/>
      <c r="EU65" s="26"/>
      <c r="EV65" s="26"/>
      <c r="EW65" s="26"/>
      <c r="EX65" s="26"/>
      <c r="EY65" s="26"/>
      <c r="EZ65" s="26"/>
      <c r="FA65" s="26"/>
      <c r="FB65" s="26"/>
      <c r="FC65" s="26"/>
      <c r="FD65" s="26"/>
      <c r="FE65" s="26"/>
      <c r="FF65" s="26"/>
      <c r="FG65" s="26"/>
      <c r="FH65" s="26"/>
      <c r="FI65" s="26"/>
      <c r="FJ65" s="26"/>
      <c r="FK65" s="26"/>
      <c r="FL65" s="26"/>
      <c r="FM65" s="26"/>
      <c r="FN65" s="26"/>
      <c r="FO65" s="26"/>
      <c r="FP65" s="26"/>
      <c r="FQ65" s="26"/>
      <c r="FR65" s="26"/>
      <c r="FS65" s="26"/>
      <c r="FT65" s="26"/>
      <c r="FU65" s="26"/>
      <c r="FV65" s="26"/>
      <c r="FW65" s="26"/>
      <c r="FX65" s="26"/>
      <c r="FY65" s="26"/>
      <c r="FZ65" s="26"/>
      <c r="GA65" s="26"/>
    </row>
    <row r="66" spans="2:183" x14ac:dyDescent="0.2">
      <c r="B66" s="6" t="s">
        <v>517</v>
      </c>
      <c r="C66" s="8"/>
      <c r="D66" s="52" t="s">
        <v>411</v>
      </c>
      <c r="E66" s="19" t="s">
        <v>451</v>
      </c>
      <c r="F66" s="19" t="s">
        <v>518</v>
      </c>
      <c r="G66" s="19">
        <v>45580</v>
      </c>
      <c r="H66" s="8" t="s">
        <v>26</v>
      </c>
      <c r="I66" s="8" t="s">
        <v>385</v>
      </c>
      <c r="J66" s="29"/>
      <c r="K66" s="29"/>
      <c r="L66" s="29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  <c r="EJ66" s="26"/>
      <c r="EK66" s="26"/>
      <c r="EL66" s="26"/>
      <c r="EM66" s="26"/>
      <c r="EN66" s="26"/>
      <c r="EO66" s="26"/>
      <c r="EP66" s="26"/>
      <c r="EQ66" s="26"/>
      <c r="ER66" s="26"/>
      <c r="ES66" s="26"/>
      <c r="ET66" s="26"/>
      <c r="EU66" s="26"/>
      <c r="EV66" s="26"/>
      <c r="EW66" s="26"/>
      <c r="EX66" s="26"/>
      <c r="EY66" s="26"/>
      <c r="EZ66" s="26"/>
      <c r="FA66" s="26"/>
      <c r="FB66" s="26"/>
      <c r="FC66" s="26"/>
      <c r="FD66" s="26"/>
      <c r="FE66" s="26"/>
      <c r="FF66" s="26"/>
      <c r="FG66" s="26"/>
      <c r="FH66" s="26"/>
      <c r="FI66" s="26"/>
      <c r="FJ66" s="26"/>
      <c r="FK66" s="26"/>
      <c r="FL66" s="26"/>
      <c r="FM66" s="26"/>
      <c r="FN66" s="26"/>
      <c r="FO66" s="26"/>
      <c r="FP66" s="26"/>
      <c r="FQ66" s="26"/>
      <c r="FR66" s="26"/>
      <c r="FS66" s="26"/>
      <c r="FT66" s="26"/>
      <c r="FU66" s="26"/>
      <c r="FV66" s="26"/>
      <c r="FW66" s="26"/>
      <c r="FX66" s="26"/>
      <c r="FY66" s="26"/>
      <c r="FZ66" s="26"/>
      <c r="GA66" s="26"/>
    </row>
    <row r="67" spans="2:183" x14ac:dyDescent="0.2">
      <c r="B67" s="6" t="s">
        <v>519</v>
      </c>
      <c r="C67" s="6"/>
      <c r="D67" s="52"/>
      <c r="E67" s="20"/>
      <c r="F67" s="19" t="s">
        <v>500</v>
      </c>
      <c r="G67" s="20">
        <v>45748</v>
      </c>
      <c r="H67" s="6" t="s">
        <v>148</v>
      </c>
      <c r="I67" s="32" t="s">
        <v>27</v>
      </c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26"/>
      <c r="EW67" s="26"/>
      <c r="EX67" s="26"/>
      <c r="EY67" s="26"/>
      <c r="EZ67" s="26"/>
      <c r="FA67" s="26"/>
      <c r="FB67" s="26"/>
      <c r="FC67" s="26"/>
      <c r="FD67" s="26"/>
      <c r="FE67" s="26"/>
      <c r="FF67" s="26"/>
      <c r="FG67" s="26"/>
      <c r="FH67" s="26"/>
      <c r="FI67" s="26"/>
      <c r="FJ67" s="26"/>
      <c r="FK67" s="26"/>
      <c r="FL67" s="26"/>
      <c r="FM67" s="26"/>
      <c r="FN67" s="26"/>
      <c r="FO67" s="26"/>
      <c r="FP67" s="26"/>
      <c r="FQ67" s="26"/>
      <c r="FR67" s="26"/>
      <c r="FS67" s="26"/>
      <c r="FT67" s="26"/>
      <c r="FU67" s="26"/>
      <c r="FV67" s="26"/>
      <c r="FW67" s="26"/>
      <c r="FX67" s="26"/>
      <c r="FY67" s="26"/>
      <c r="FZ67" s="26"/>
      <c r="GA67" s="26"/>
    </row>
    <row r="68" spans="2:183" x14ac:dyDescent="0.2">
      <c r="B68" s="6" t="s">
        <v>520</v>
      </c>
      <c r="C68" s="11" t="s">
        <v>521</v>
      </c>
      <c r="D68" s="51"/>
      <c r="E68" s="20"/>
      <c r="F68" s="20"/>
      <c r="G68" s="20"/>
      <c r="H68" s="6"/>
      <c r="I68" s="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  <c r="EJ68" s="26"/>
      <c r="EK68" s="26"/>
      <c r="EL68" s="26"/>
      <c r="EM68" s="26"/>
      <c r="EN68" s="26"/>
      <c r="EO68" s="26"/>
      <c r="EP68" s="26"/>
      <c r="EQ68" s="26"/>
      <c r="ER68" s="26"/>
      <c r="ES68" s="26"/>
      <c r="ET68" s="26"/>
      <c r="EU68" s="26"/>
      <c r="EV68" s="26"/>
      <c r="EW68" s="26"/>
      <c r="EX68" s="26"/>
      <c r="EY68" s="26"/>
      <c r="EZ68" s="26"/>
      <c r="FA68" s="26"/>
      <c r="FB68" s="26"/>
      <c r="FC68" s="26"/>
      <c r="FD68" s="26"/>
      <c r="FE68" s="26"/>
      <c r="FF68" s="26"/>
      <c r="FG68" s="26"/>
      <c r="FH68" s="26"/>
      <c r="FI68" s="26"/>
      <c r="FJ68" s="26"/>
      <c r="FK68" s="26"/>
      <c r="FL68" s="26"/>
      <c r="FM68" s="26"/>
      <c r="FN68" s="26"/>
      <c r="FO68" s="26"/>
      <c r="FP68" s="26"/>
      <c r="FQ68" s="26"/>
      <c r="FR68" s="26"/>
      <c r="FS68" s="26"/>
      <c r="FT68" s="26"/>
      <c r="FU68" s="26"/>
      <c r="FV68" s="26"/>
      <c r="FW68" s="26"/>
      <c r="FX68" s="26"/>
      <c r="FY68" s="26"/>
      <c r="FZ68" s="26"/>
      <c r="GA68" s="26"/>
    </row>
    <row r="69" spans="2:183" x14ac:dyDescent="0.2">
      <c r="B69" s="6" t="s">
        <v>522</v>
      </c>
      <c r="C69" s="11" t="s">
        <v>523</v>
      </c>
      <c r="D69" s="51"/>
      <c r="E69" s="20"/>
      <c r="F69" s="20"/>
      <c r="G69" s="20"/>
      <c r="H69" s="6"/>
      <c r="I69" s="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  <c r="DR69" s="26"/>
      <c r="DS69" s="26"/>
      <c r="DT69" s="26"/>
      <c r="DU69" s="26"/>
      <c r="DV69" s="26"/>
      <c r="DW69" s="26"/>
      <c r="DX69" s="26"/>
      <c r="DY69" s="26"/>
      <c r="DZ69" s="26"/>
      <c r="EA69" s="26"/>
      <c r="EB69" s="26"/>
      <c r="EC69" s="26"/>
      <c r="ED69" s="26"/>
      <c r="EE69" s="26"/>
      <c r="EF69" s="26"/>
      <c r="EG69" s="26"/>
      <c r="EH69" s="26"/>
      <c r="EI69" s="26"/>
      <c r="EJ69" s="26"/>
      <c r="EK69" s="26"/>
      <c r="EL69" s="26"/>
      <c r="EM69" s="26"/>
      <c r="EN69" s="26"/>
      <c r="EO69" s="26"/>
      <c r="EP69" s="26"/>
      <c r="EQ69" s="26"/>
      <c r="ER69" s="26"/>
      <c r="ES69" s="26"/>
      <c r="ET69" s="26"/>
      <c r="EU69" s="26"/>
      <c r="EV69" s="26"/>
      <c r="EW69" s="26"/>
      <c r="EX69" s="26"/>
      <c r="EY69" s="26"/>
      <c r="EZ69" s="26"/>
      <c r="FA69" s="26"/>
      <c r="FB69" s="26"/>
      <c r="FC69" s="26"/>
      <c r="FD69" s="26"/>
      <c r="FE69" s="26"/>
      <c r="FF69" s="26"/>
      <c r="FG69" s="26"/>
      <c r="FH69" s="26"/>
      <c r="FI69" s="26"/>
      <c r="FJ69" s="26"/>
      <c r="FK69" s="26"/>
      <c r="FL69" s="26"/>
      <c r="FM69" s="26"/>
      <c r="FN69" s="26"/>
      <c r="FO69" s="26"/>
      <c r="FP69" s="26"/>
      <c r="FQ69" s="26"/>
      <c r="FR69" s="26"/>
      <c r="FS69" s="26"/>
      <c r="FT69" s="26"/>
      <c r="FU69" s="26"/>
      <c r="FV69" s="26"/>
      <c r="FW69" s="26"/>
      <c r="FX69" s="26"/>
      <c r="FY69" s="26"/>
      <c r="FZ69" s="26"/>
      <c r="GA69" s="26"/>
    </row>
    <row r="70" spans="2:183" x14ac:dyDescent="0.2">
      <c r="B70" s="6" t="s">
        <v>524</v>
      </c>
      <c r="C70" s="11" t="s">
        <v>525</v>
      </c>
      <c r="D70" s="51"/>
      <c r="E70" s="20"/>
      <c r="F70" s="20"/>
      <c r="G70" s="20"/>
      <c r="H70" s="6"/>
      <c r="I70" s="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6"/>
      <c r="EG70" s="26"/>
      <c r="EH70" s="26"/>
      <c r="EI70" s="26"/>
      <c r="EJ70" s="26"/>
      <c r="EK70" s="26"/>
      <c r="EL70" s="26"/>
      <c r="EM70" s="26"/>
      <c r="EN70" s="26"/>
      <c r="EO70" s="26"/>
      <c r="EP70" s="26"/>
      <c r="EQ70" s="26"/>
      <c r="ER70" s="26"/>
      <c r="ES70" s="26"/>
      <c r="ET70" s="26"/>
      <c r="EU70" s="26"/>
      <c r="EV70" s="26"/>
      <c r="EW70" s="26"/>
      <c r="EX70" s="26"/>
      <c r="EY70" s="26"/>
      <c r="EZ70" s="26"/>
      <c r="FA70" s="26"/>
      <c r="FB70" s="26"/>
      <c r="FC70" s="26"/>
      <c r="FD70" s="26"/>
      <c r="FE70" s="26"/>
      <c r="FF70" s="26"/>
      <c r="FG70" s="26"/>
      <c r="FH70" s="26"/>
      <c r="FI70" s="26"/>
      <c r="FJ70" s="26"/>
      <c r="FK70" s="26"/>
      <c r="FL70" s="26"/>
      <c r="FM70" s="26"/>
      <c r="FN70" s="26"/>
      <c r="FO70" s="26"/>
      <c r="FP70" s="26"/>
      <c r="FQ70" s="26"/>
      <c r="FR70" s="26"/>
      <c r="FS70" s="26"/>
      <c r="FT70" s="26"/>
      <c r="FU70" s="26"/>
      <c r="FV70" s="26"/>
      <c r="FW70" s="26"/>
      <c r="FX70" s="26"/>
      <c r="FY70" s="26"/>
      <c r="FZ70" s="26"/>
      <c r="GA70" s="26"/>
    </row>
    <row r="71" spans="2:183" x14ac:dyDescent="0.2">
      <c r="B71" s="6" t="s">
        <v>526</v>
      </c>
      <c r="C71" s="6" t="s">
        <v>527</v>
      </c>
      <c r="D71" s="52" t="s">
        <v>411</v>
      </c>
      <c r="E71" s="19"/>
      <c r="F71" s="19" t="s">
        <v>402</v>
      </c>
      <c r="G71" s="19" t="s">
        <v>43</v>
      </c>
      <c r="H71" s="6" t="s">
        <v>26</v>
      </c>
      <c r="I71" s="11" t="s">
        <v>385</v>
      </c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  <c r="DR71" s="26"/>
      <c r="DS71" s="26"/>
      <c r="DT71" s="26"/>
      <c r="DU71" s="26"/>
      <c r="DV71" s="26"/>
      <c r="DW71" s="26"/>
      <c r="DX71" s="26"/>
      <c r="DY71" s="26"/>
      <c r="DZ71" s="26"/>
      <c r="EA71" s="26"/>
      <c r="EB71" s="26"/>
      <c r="EC71" s="26"/>
      <c r="ED71" s="26"/>
      <c r="EE71" s="26"/>
      <c r="EF71" s="26"/>
      <c r="EG71" s="26"/>
      <c r="EH71" s="26"/>
      <c r="EI71" s="26"/>
      <c r="EJ71" s="26"/>
      <c r="EK71" s="26"/>
      <c r="EL71" s="26"/>
      <c r="EM71" s="26"/>
      <c r="EN71" s="26"/>
      <c r="EO71" s="26"/>
      <c r="EP71" s="26"/>
      <c r="EQ71" s="26"/>
      <c r="ER71" s="26"/>
      <c r="ES71" s="26"/>
      <c r="ET71" s="26"/>
      <c r="EU71" s="26"/>
      <c r="EV71" s="26"/>
      <c r="EW71" s="26"/>
      <c r="EX71" s="26"/>
      <c r="EY71" s="26"/>
      <c r="EZ71" s="26"/>
      <c r="FA71" s="26"/>
      <c r="FB71" s="26"/>
      <c r="FC71" s="26"/>
      <c r="FD71" s="26"/>
      <c r="FE71" s="26"/>
      <c r="FF71" s="26"/>
      <c r="FG71" s="26"/>
      <c r="FH71" s="26"/>
      <c r="FI71" s="26"/>
      <c r="FJ71" s="26"/>
      <c r="FK71" s="26"/>
      <c r="FL71" s="26"/>
      <c r="FM71" s="26"/>
      <c r="FN71" s="26"/>
      <c r="FO71" s="26"/>
      <c r="FP71" s="26"/>
      <c r="FQ71" s="26"/>
      <c r="FR71" s="26"/>
      <c r="FS71" s="26"/>
      <c r="FT71" s="26"/>
      <c r="FU71" s="26"/>
      <c r="FV71" s="26"/>
      <c r="FW71" s="26"/>
      <c r="FX71" s="26"/>
      <c r="FY71" s="26"/>
      <c r="FZ71" s="26"/>
      <c r="GA71" s="26"/>
    </row>
    <row r="72" spans="2:183" ht="16" x14ac:dyDescent="0.2">
      <c r="B72" s="42" t="s">
        <v>528</v>
      </c>
      <c r="C72" s="58" t="s">
        <v>529</v>
      </c>
      <c r="D72" s="55"/>
      <c r="E72" s="21"/>
      <c r="F72" s="21"/>
      <c r="G72" s="21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6"/>
      <c r="EY72" s="26"/>
      <c r="EZ72" s="26"/>
      <c r="FA72" s="26"/>
      <c r="FB72" s="26"/>
      <c r="FC72" s="26"/>
      <c r="FD72" s="26"/>
      <c r="FE72" s="26"/>
      <c r="FF72" s="26"/>
      <c r="FG72" s="26"/>
      <c r="FH72" s="26"/>
      <c r="FI72" s="26"/>
      <c r="FJ72" s="26"/>
      <c r="FK72" s="26"/>
      <c r="FL72" s="26"/>
      <c r="FM72" s="26"/>
      <c r="FN72" s="26"/>
      <c r="FO72" s="26"/>
      <c r="FP72" s="26"/>
      <c r="FQ72" s="26"/>
      <c r="FR72" s="26"/>
      <c r="FS72" s="26"/>
      <c r="FT72" s="26"/>
      <c r="FU72" s="26"/>
      <c r="FV72" s="26"/>
      <c r="FW72" s="26"/>
      <c r="FX72" s="26"/>
      <c r="FY72" s="26"/>
      <c r="FZ72" s="26"/>
      <c r="GA72" s="26"/>
    </row>
    <row r="73" spans="2:183" x14ac:dyDescent="0.2">
      <c r="B73" s="42" t="s">
        <v>530</v>
      </c>
      <c r="C73" s="42" t="s">
        <v>531</v>
      </c>
      <c r="D73" s="55" t="s">
        <v>532</v>
      </c>
      <c r="E73" s="21"/>
      <c r="F73" s="19" t="s">
        <v>203</v>
      </c>
      <c r="G73" s="21"/>
      <c r="H73" s="26" t="s">
        <v>43</v>
      </c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  <c r="DR73" s="26"/>
      <c r="DS73" s="26"/>
      <c r="DT73" s="26"/>
      <c r="DU73" s="26"/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6"/>
      <c r="EG73" s="26"/>
      <c r="EH73" s="26"/>
      <c r="EI73" s="26"/>
      <c r="EJ73" s="26"/>
      <c r="EK73" s="26"/>
      <c r="EL73" s="26"/>
      <c r="EM73" s="26"/>
      <c r="EN73" s="26"/>
      <c r="EO73" s="26"/>
      <c r="EP73" s="26"/>
      <c r="EQ73" s="26"/>
      <c r="ER73" s="26"/>
      <c r="ES73" s="26"/>
      <c r="ET73" s="26"/>
      <c r="EU73" s="26"/>
      <c r="EV73" s="26"/>
      <c r="EW73" s="26"/>
      <c r="EX73" s="26"/>
      <c r="EY73" s="26"/>
      <c r="EZ73" s="26"/>
      <c r="FA73" s="26"/>
      <c r="FB73" s="26"/>
      <c r="FC73" s="26"/>
      <c r="FD73" s="26"/>
      <c r="FE73" s="26"/>
      <c r="FF73" s="26"/>
      <c r="FG73" s="26"/>
      <c r="FH73" s="26"/>
      <c r="FI73" s="26"/>
      <c r="FJ73" s="26"/>
      <c r="FK73" s="26"/>
      <c r="FL73" s="26"/>
      <c r="FM73" s="26"/>
      <c r="FN73" s="26"/>
      <c r="FO73" s="26"/>
      <c r="FP73" s="26"/>
      <c r="FQ73" s="26"/>
      <c r="FR73" s="26"/>
      <c r="FS73" s="26"/>
      <c r="FT73" s="26"/>
      <c r="FU73" s="26"/>
      <c r="FV73" s="26"/>
      <c r="FW73" s="26"/>
      <c r="FX73" s="26"/>
      <c r="FY73" s="26"/>
      <c r="FZ73" s="26"/>
      <c r="GA73" s="26"/>
    </row>
    <row r="74" spans="2:183" x14ac:dyDescent="0.2">
      <c r="B74" s="6" t="s">
        <v>533</v>
      </c>
      <c r="C74" s="6" t="s">
        <v>534</v>
      </c>
      <c r="D74" s="52" t="s">
        <v>411</v>
      </c>
      <c r="E74" s="19">
        <v>45663</v>
      </c>
      <c r="F74" s="19" t="s">
        <v>535</v>
      </c>
      <c r="G74" s="19"/>
      <c r="H74" s="56"/>
      <c r="I74" s="11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26"/>
      <c r="EU74" s="26"/>
      <c r="EV74" s="26"/>
      <c r="EW74" s="26"/>
      <c r="EX74" s="26"/>
      <c r="EY74" s="26"/>
      <c r="EZ74" s="26"/>
      <c r="FA74" s="26"/>
      <c r="FB74" s="26"/>
      <c r="FC74" s="26"/>
      <c r="FD74" s="26"/>
      <c r="FE74" s="26"/>
      <c r="FF74" s="26"/>
      <c r="FG74" s="26"/>
      <c r="FH74" s="26"/>
      <c r="FI74" s="26"/>
      <c r="FJ74" s="26"/>
      <c r="FK74" s="26"/>
      <c r="FL74" s="26"/>
      <c r="FM74" s="26"/>
      <c r="FN74" s="26"/>
      <c r="FO74" s="26"/>
      <c r="FP74" s="26"/>
      <c r="FQ74" s="26"/>
      <c r="FR74" s="26"/>
      <c r="FS74" s="26"/>
      <c r="FT74" s="26"/>
      <c r="FU74" s="26"/>
      <c r="FV74" s="26"/>
      <c r="FW74" s="26"/>
      <c r="FX74" s="26"/>
      <c r="FY74" s="26"/>
      <c r="FZ74" s="26"/>
      <c r="GA74" s="26"/>
    </row>
    <row r="75" spans="2:183" ht="32" x14ac:dyDescent="0.2">
      <c r="B75" s="6" t="s">
        <v>536</v>
      </c>
      <c r="C75" s="10" t="s">
        <v>537</v>
      </c>
      <c r="D75" s="52" t="s">
        <v>45</v>
      </c>
      <c r="E75" s="19">
        <v>45486</v>
      </c>
      <c r="F75" s="20" t="s">
        <v>25</v>
      </c>
      <c r="G75" s="19">
        <v>45528</v>
      </c>
      <c r="H75" s="6" t="s">
        <v>26</v>
      </c>
      <c r="I75" s="11" t="s">
        <v>385</v>
      </c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  <c r="DR75" s="26"/>
      <c r="DS75" s="26"/>
      <c r="DT75" s="26"/>
      <c r="DU75" s="26"/>
      <c r="DV75" s="26"/>
      <c r="DW75" s="26"/>
      <c r="DX75" s="26"/>
      <c r="DY75" s="26"/>
      <c r="DZ75" s="26"/>
      <c r="EA75" s="26"/>
      <c r="EB75" s="26"/>
      <c r="EC75" s="26"/>
      <c r="ED75" s="26"/>
      <c r="EE75" s="26"/>
      <c r="EF75" s="26"/>
      <c r="EG75" s="26"/>
      <c r="EH75" s="26"/>
      <c r="EI75" s="26"/>
      <c r="EJ75" s="26"/>
      <c r="EK75" s="26"/>
      <c r="EL75" s="26"/>
      <c r="EM75" s="26"/>
      <c r="EN75" s="26"/>
      <c r="EO75" s="26"/>
      <c r="EP75" s="26"/>
      <c r="EQ75" s="26"/>
      <c r="ER75" s="26"/>
      <c r="ES75" s="26"/>
      <c r="ET75" s="26"/>
      <c r="EU75" s="26"/>
      <c r="EV75" s="26"/>
      <c r="EW75" s="26"/>
      <c r="EX75" s="26"/>
      <c r="EY75" s="26"/>
      <c r="EZ75" s="26"/>
      <c r="FA75" s="26"/>
      <c r="FB75" s="26"/>
      <c r="FC75" s="26"/>
      <c r="FD75" s="26"/>
      <c r="FE75" s="26"/>
      <c r="FF75" s="26"/>
      <c r="FG75" s="26"/>
      <c r="FH75" s="26"/>
      <c r="FI75" s="26"/>
      <c r="FJ75" s="26"/>
      <c r="FK75" s="26"/>
      <c r="FL75" s="26"/>
      <c r="FM75" s="26"/>
      <c r="FN75" s="26"/>
      <c r="FO75" s="26"/>
      <c r="FP75" s="26"/>
      <c r="FQ75" s="26"/>
      <c r="FR75" s="26"/>
      <c r="FS75" s="26"/>
      <c r="FT75" s="26"/>
      <c r="FU75" s="26"/>
      <c r="FV75" s="26"/>
      <c r="FW75" s="26"/>
      <c r="FX75" s="26"/>
      <c r="FY75" s="26"/>
      <c r="FZ75" s="26"/>
      <c r="GA75" s="26"/>
    </row>
    <row r="76" spans="2:183" ht="16" x14ac:dyDescent="0.2">
      <c r="B76" s="6" t="s">
        <v>538</v>
      </c>
      <c r="C76" s="16" t="s">
        <v>539</v>
      </c>
      <c r="D76" s="51"/>
      <c r="E76" s="20"/>
      <c r="F76" s="20"/>
      <c r="G76" s="20"/>
      <c r="H76" s="6"/>
      <c r="I76" s="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  <c r="DQ76" s="26"/>
      <c r="DR76" s="26"/>
      <c r="DS76" s="26"/>
      <c r="DT76" s="26"/>
      <c r="DU76" s="26"/>
      <c r="DV76" s="26"/>
      <c r="DW76" s="26"/>
      <c r="DX76" s="26"/>
      <c r="DY76" s="26"/>
      <c r="DZ76" s="26"/>
      <c r="EA76" s="26"/>
      <c r="EB76" s="26"/>
      <c r="EC76" s="26"/>
      <c r="ED76" s="26"/>
      <c r="EE76" s="26"/>
      <c r="EF76" s="26"/>
      <c r="EG76" s="26"/>
      <c r="EH76" s="26"/>
      <c r="EI76" s="26"/>
      <c r="EJ76" s="26"/>
      <c r="EK76" s="26"/>
      <c r="EL76" s="26"/>
      <c r="EM76" s="26"/>
      <c r="EN76" s="26"/>
      <c r="EO76" s="26"/>
      <c r="EP76" s="26"/>
      <c r="EQ76" s="26"/>
      <c r="ER76" s="26"/>
      <c r="ES76" s="26"/>
      <c r="ET76" s="26"/>
      <c r="EU76" s="26"/>
      <c r="EV76" s="26"/>
      <c r="EW76" s="26"/>
      <c r="EX76" s="26"/>
      <c r="EY76" s="26"/>
      <c r="EZ76" s="26"/>
      <c r="FA76" s="26"/>
      <c r="FB76" s="26"/>
      <c r="FC76" s="26"/>
      <c r="FD76" s="26"/>
      <c r="FE76" s="26"/>
      <c r="FF76" s="26"/>
      <c r="FG76" s="26"/>
      <c r="FH76" s="26"/>
      <c r="FI76" s="26"/>
      <c r="FJ76" s="26"/>
      <c r="FK76" s="26"/>
      <c r="FL76" s="26"/>
      <c r="FM76" s="26"/>
      <c r="FN76" s="26"/>
      <c r="FO76" s="26"/>
      <c r="FP76" s="26"/>
      <c r="FQ76" s="26"/>
      <c r="FR76" s="26"/>
      <c r="FS76" s="26"/>
      <c r="FT76" s="26"/>
      <c r="FU76" s="26"/>
      <c r="FV76" s="26"/>
      <c r="FW76" s="26"/>
      <c r="FX76" s="26"/>
      <c r="FY76" s="26"/>
      <c r="FZ76" s="26"/>
      <c r="GA76" s="26"/>
    </row>
    <row r="77" spans="2:183" ht="32" x14ac:dyDescent="0.2">
      <c r="B77" s="6" t="s">
        <v>540</v>
      </c>
      <c r="C77" s="16" t="s">
        <v>541</v>
      </c>
      <c r="D77" s="51"/>
      <c r="E77" s="20"/>
      <c r="F77" s="20"/>
      <c r="G77" s="20"/>
      <c r="H77" s="6"/>
      <c r="I77" s="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  <c r="DA77" s="26"/>
      <c r="DB77" s="26"/>
      <c r="DC77" s="26"/>
      <c r="DD77" s="26"/>
      <c r="DE77" s="26"/>
      <c r="DF77" s="26"/>
      <c r="DG77" s="26"/>
      <c r="DH77" s="26"/>
      <c r="DI77" s="26"/>
      <c r="DJ77" s="26"/>
      <c r="DK77" s="26"/>
      <c r="DL77" s="26"/>
      <c r="DM77" s="26"/>
      <c r="DN77" s="26"/>
      <c r="DO77" s="26"/>
      <c r="DP77" s="26"/>
      <c r="DQ77" s="26"/>
      <c r="DR77" s="26"/>
      <c r="DS77" s="26"/>
      <c r="DT77" s="26"/>
      <c r="DU77" s="26"/>
      <c r="DV77" s="26"/>
      <c r="DW77" s="26"/>
      <c r="DX77" s="26"/>
      <c r="DY77" s="26"/>
      <c r="DZ77" s="26"/>
      <c r="EA77" s="26"/>
      <c r="EB77" s="26"/>
      <c r="EC77" s="26"/>
      <c r="ED77" s="26"/>
      <c r="EE77" s="26"/>
      <c r="EF77" s="26"/>
      <c r="EG77" s="26"/>
      <c r="EH77" s="26"/>
      <c r="EI77" s="26"/>
      <c r="EJ77" s="26"/>
      <c r="EK77" s="26"/>
      <c r="EL77" s="26"/>
      <c r="EM77" s="26"/>
      <c r="EN77" s="26"/>
      <c r="EO77" s="26"/>
      <c r="EP77" s="26"/>
      <c r="EQ77" s="26"/>
      <c r="ER77" s="26"/>
      <c r="ES77" s="26"/>
      <c r="ET77" s="26"/>
      <c r="EU77" s="26"/>
      <c r="EV77" s="26"/>
      <c r="EW77" s="26"/>
      <c r="EX77" s="26"/>
      <c r="EY77" s="26"/>
      <c r="EZ77" s="26"/>
      <c r="FA77" s="26"/>
      <c r="FB77" s="26"/>
      <c r="FC77" s="26"/>
      <c r="FD77" s="26"/>
      <c r="FE77" s="26"/>
      <c r="FF77" s="26"/>
      <c r="FG77" s="26"/>
      <c r="FH77" s="26"/>
      <c r="FI77" s="26"/>
      <c r="FJ77" s="26"/>
      <c r="FK77" s="26"/>
      <c r="FL77" s="26"/>
      <c r="FM77" s="26"/>
      <c r="FN77" s="26"/>
      <c r="FO77" s="26"/>
      <c r="FP77" s="26"/>
      <c r="FQ77" s="26"/>
      <c r="FR77" s="26"/>
      <c r="FS77" s="26"/>
      <c r="FT77" s="26"/>
      <c r="FU77" s="26"/>
      <c r="FV77" s="26"/>
      <c r="FW77" s="26"/>
      <c r="FX77" s="26"/>
      <c r="FY77" s="26"/>
      <c r="FZ77" s="26"/>
      <c r="GA77" s="26"/>
    </row>
    <row r="78" spans="2:183" ht="32" x14ac:dyDescent="0.2">
      <c r="B78" s="42" t="s">
        <v>520</v>
      </c>
      <c r="C78" s="58" t="s">
        <v>542</v>
      </c>
      <c r="D78" s="52" t="s">
        <v>411</v>
      </c>
      <c r="E78" s="21"/>
      <c r="F78" s="21"/>
      <c r="G78" s="21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  <c r="DR78" s="26"/>
      <c r="DS78" s="26"/>
      <c r="DT78" s="26"/>
      <c r="DU78" s="26"/>
      <c r="DV78" s="26"/>
      <c r="DW78" s="26"/>
      <c r="DX78" s="26"/>
      <c r="DY78" s="26"/>
      <c r="DZ78" s="26"/>
      <c r="EA78" s="26"/>
      <c r="EB78" s="26"/>
      <c r="EC78" s="26"/>
      <c r="ED78" s="26"/>
      <c r="EE78" s="26"/>
      <c r="EF78" s="26"/>
      <c r="EG78" s="26"/>
      <c r="EH78" s="26"/>
      <c r="EI78" s="26"/>
      <c r="EJ78" s="26"/>
      <c r="EK78" s="26"/>
      <c r="EL78" s="26"/>
      <c r="EM78" s="26"/>
      <c r="EN78" s="26"/>
      <c r="EO78" s="26"/>
      <c r="EP78" s="26"/>
      <c r="EQ78" s="26"/>
      <c r="ER78" s="26"/>
      <c r="ES78" s="26"/>
      <c r="ET78" s="26"/>
      <c r="EU78" s="26"/>
      <c r="EV78" s="26"/>
      <c r="EW78" s="26"/>
      <c r="EX78" s="26"/>
      <c r="EY78" s="26"/>
      <c r="EZ78" s="26"/>
      <c r="FA78" s="26"/>
      <c r="FB78" s="26"/>
      <c r="FC78" s="26"/>
      <c r="FD78" s="26"/>
      <c r="FE78" s="26"/>
      <c r="FF78" s="26"/>
      <c r="FG78" s="26"/>
      <c r="FH78" s="26"/>
      <c r="FI78" s="26"/>
      <c r="FJ78" s="26"/>
      <c r="FK78" s="26"/>
      <c r="FL78" s="26"/>
      <c r="FM78" s="26"/>
      <c r="FN78" s="26"/>
      <c r="FO78" s="26"/>
      <c r="FP78" s="26"/>
      <c r="FQ78" s="26"/>
      <c r="FR78" s="26"/>
      <c r="FS78" s="26"/>
      <c r="FT78" s="26"/>
      <c r="FU78" s="26"/>
      <c r="FV78" s="26"/>
      <c r="FW78" s="26"/>
      <c r="FX78" s="26"/>
      <c r="FY78" s="26"/>
      <c r="FZ78" s="26"/>
      <c r="GA78" s="26"/>
    </row>
    <row r="79" spans="2:183" ht="16" x14ac:dyDescent="0.2">
      <c r="B79" s="6" t="s">
        <v>543</v>
      </c>
      <c r="C79" s="10" t="s">
        <v>544</v>
      </c>
      <c r="D79" s="52" t="s">
        <v>545</v>
      </c>
      <c r="E79" s="19" t="s">
        <v>546</v>
      </c>
      <c r="F79" s="19" t="s">
        <v>15</v>
      </c>
      <c r="G79" s="19"/>
      <c r="H79" s="6" t="s">
        <v>26</v>
      </c>
      <c r="I79" s="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  <c r="DP79" s="26"/>
      <c r="DQ79" s="26"/>
      <c r="DR79" s="26"/>
      <c r="DS79" s="26"/>
      <c r="DT79" s="26"/>
      <c r="DU79" s="26"/>
      <c r="DV79" s="26"/>
      <c r="DW79" s="26"/>
      <c r="DX79" s="26"/>
      <c r="DY79" s="26"/>
      <c r="DZ79" s="26"/>
      <c r="EA79" s="26"/>
      <c r="EB79" s="26"/>
      <c r="EC79" s="26"/>
      <c r="ED79" s="26"/>
      <c r="EE79" s="26"/>
      <c r="EF79" s="26"/>
      <c r="EG79" s="26"/>
      <c r="EH79" s="26"/>
      <c r="EI79" s="26"/>
      <c r="EJ79" s="26"/>
      <c r="EK79" s="26"/>
      <c r="EL79" s="26"/>
      <c r="EM79" s="26"/>
      <c r="EN79" s="26"/>
      <c r="EO79" s="26"/>
      <c r="EP79" s="26"/>
      <c r="EQ79" s="26"/>
      <c r="ER79" s="26"/>
      <c r="ES79" s="26"/>
      <c r="ET79" s="26"/>
      <c r="EU79" s="26"/>
      <c r="EV79" s="26"/>
      <c r="EW79" s="26"/>
      <c r="EX79" s="26"/>
      <c r="EY79" s="26"/>
      <c r="EZ79" s="26"/>
      <c r="FA79" s="26"/>
      <c r="FB79" s="26"/>
      <c r="FC79" s="26"/>
      <c r="FD79" s="26"/>
      <c r="FE79" s="26"/>
      <c r="FF79" s="26"/>
      <c r="FG79" s="26"/>
      <c r="FH79" s="26"/>
      <c r="FI79" s="26"/>
      <c r="FJ79" s="26"/>
      <c r="FK79" s="26"/>
      <c r="FL79" s="26"/>
      <c r="FM79" s="26"/>
      <c r="FN79" s="26"/>
      <c r="FO79" s="26"/>
      <c r="FP79" s="26"/>
      <c r="FQ79" s="26"/>
      <c r="FR79" s="26"/>
      <c r="FS79" s="26"/>
      <c r="FT79" s="26"/>
      <c r="FU79" s="26"/>
      <c r="FV79" s="26"/>
      <c r="FW79" s="26"/>
      <c r="FX79" s="26"/>
      <c r="FY79" s="26"/>
      <c r="FZ79" s="26"/>
      <c r="GA79" s="26"/>
    </row>
    <row r="80" spans="2:183" x14ac:dyDescent="0.2">
      <c r="B80" s="6" t="s">
        <v>547</v>
      </c>
      <c r="C80" s="6" t="s">
        <v>548</v>
      </c>
      <c r="D80" s="52" t="s">
        <v>549</v>
      </c>
      <c r="E80" s="19">
        <v>45726</v>
      </c>
      <c r="F80" s="19" t="s">
        <v>500</v>
      </c>
      <c r="G80" s="19">
        <v>45748</v>
      </c>
      <c r="H80" s="6" t="s">
        <v>43</v>
      </c>
      <c r="I80" s="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  <c r="DP80" s="26"/>
      <c r="DQ80" s="26"/>
      <c r="DR80" s="26"/>
      <c r="DS80" s="26"/>
      <c r="DT80" s="26"/>
      <c r="DU80" s="26"/>
      <c r="DV80" s="26"/>
      <c r="DW80" s="26"/>
      <c r="DX80" s="26"/>
      <c r="DY80" s="26"/>
      <c r="DZ80" s="26"/>
      <c r="EA80" s="26"/>
      <c r="EB80" s="26"/>
      <c r="EC80" s="26"/>
      <c r="ED80" s="26"/>
      <c r="EE80" s="26"/>
      <c r="EF80" s="26"/>
      <c r="EG80" s="26"/>
      <c r="EH80" s="26"/>
      <c r="EI80" s="26"/>
      <c r="EJ80" s="26"/>
      <c r="EK80" s="26"/>
      <c r="EL80" s="26"/>
      <c r="EM80" s="26"/>
      <c r="EN80" s="26"/>
      <c r="EO80" s="26"/>
      <c r="EP80" s="26"/>
      <c r="EQ80" s="26"/>
      <c r="ER80" s="26"/>
      <c r="ES80" s="26"/>
      <c r="ET80" s="26"/>
      <c r="EU80" s="26"/>
      <c r="EV80" s="26"/>
      <c r="EW80" s="26"/>
      <c r="EX80" s="26"/>
      <c r="EY80" s="26"/>
      <c r="EZ80" s="26"/>
      <c r="FA80" s="26"/>
      <c r="FB80" s="26"/>
      <c r="FC80" s="26"/>
      <c r="FD80" s="26"/>
      <c r="FE80" s="26"/>
      <c r="FF80" s="26"/>
      <c r="FG80" s="26"/>
      <c r="FH80" s="26"/>
      <c r="FI80" s="26"/>
      <c r="FJ80" s="26"/>
      <c r="FK80" s="26"/>
      <c r="FL80" s="26"/>
      <c r="FM80" s="26"/>
      <c r="FN80" s="26"/>
      <c r="FO80" s="26"/>
      <c r="FP80" s="26"/>
      <c r="FQ80" s="26"/>
      <c r="FR80" s="26"/>
      <c r="FS80" s="26"/>
      <c r="FT80" s="26"/>
      <c r="FU80" s="26"/>
      <c r="FV80" s="26"/>
      <c r="FW80" s="26"/>
      <c r="FX80" s="26"/>
      <c r="FY80" s="26"/>
      <c r="FZ80" s="26"/>
      <c r="GA80" s="26"/>
    </row>
    <row r="81" spans="1:185" ht="16" x14ac:dyDescent="0.2">
      <c r="B81" s="11" t="s">
        <v>550</v>
      </c>
      <c r="C81" s="10" t="s">
        <v>551</v>
      </c>
      <c r="D81" s="52" t="s">
        <v>552</v>
      </c>
      <c r="E81" s="20">
        <v>45717</v>
      </c>
      <c r="F81" s="20" t="s">
        <v>500</v>
      </c>
      <c r="G81" s="20">
        <v>45731</v>
      </c>
      <c r="H81" s="6" t="s">
        <v>26</v>
      </c>
      <c r="I81" s="32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26"/>
      <c r="EU81" s="26"/>
      <c r="EV81" s="26"/>
      <c r="EW81" s="26"/>
      <c r="EX81" s="26"/>
      <c r="EY81" s="26"/>
      <c r="EZ81" s="26"/>
      <c r="FA81" s="26"/>
      <c r="FB81" s="26"/>
      <c r="FC81" s="26"/>
      <c r="FD81" s="26"/>
      <c r="FE81" s="26"/>
      <c r="FF81" s="26"/>
      <c r="FG81" s="26"/>
      <c r="FH81" s="26"/>
      <c r="FI81" s="26"/>
      <c r="FJ81" s="26"/>
      <c r="FK81" s="26"/>
      <c r="FL81" s="26"/>
      <c r="FM81" s="26"/>
      <c r="FN81" s="26"/>
      <c r="FO81" s="26"/>
      <c r="FP81" s="26"/>
      <c r="FQ81" s="26"/>
      <c r="FR81" s="26"/>
      <c r="FS81" s="26"/>
      <c r="FT81" s="26"/>
      <c r="FU81" s="26"/>
      <c r="FV81" s="26"/>
      <c r="FW81" s="26"/>
      <c r="FX81" s="26"/>
      <c r="FY81" s="26"/>
      <c r="FZ81" s="26"/>
      <c r="GA81" s="26"/>
    </row>
    <row r="82" spans="1:185" ht="16" x14ac:dyDescent="0.2">
      <c r="B82" s="11" t="s">
        <v>553</v>
      </c>
      <c r="C82" s="10" t="s">
        <v>554</v>
      </c>
      <c r="D82" s="52" t="s">
        <v>549</v>
      </c>
      <c r="E82" s="20">
        <v>45726</v>
      </c>
      <c r="F82" s="20" t="s">
        <v>500</v>
      </c>
      <c r="G82" s="20">
        <v>45748</v>
      </c>
      <c r="H82" s="6" t="s">
        <v>26</v>
      </c>
      <c r="I82" s="32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6"/>
      <c r="EY82" s="26"/>
      <c r="EZ82" s="26"/>
      <c r="FA82" s="26"/>
      <c r="FB82" s="26"/>
      <c r="FC82" s="26"/>
      <c r="FD82" s="26"/>
      <c r="FE82" s="26"/>
      <c r="FF82" s="26"/>
      <c r="FG82" s="26"/>
      <c r="FH82" s="26"/>
      <c r="FI82" s="26"/>
      <c r="FJ82" s="26"/>
      <c r="FK82" s="26"/>
      <c r="FL82" s="26"/>
      <c r="FM82" s="26"/>
      <c r="FN82" s="26"/>
      <c r="FO82" s="26"/>
      <c r="FP82" s="26"/>
      <c r="FQ82" s="26"/>
      <c r="FR82" s="26"/>
      <c r="FS82" s="26"/>
      <c r="FT82" s="26"/>
      <c r="FU82" s="26"/>
      <c r="FV82" s="26"/>
      <c r="FW82" s="26"/>
      <c r="FX82" s="26"/>
      <c r="FY82" s="26"/>
      <c r="FZ82" s="26"/>
      <c r="GA82" s="26"/>
    </row>
    <row r="83" spans="1:185" ht="30" customHeight="1" x14ac:dyDescent="0.2">
      <c r="B83" s="6" t="s">
        <v>555</v>
      </c>
      <c r="C83" s="6" t="s">
        <v>203</v>
      </c>
      <c r="D83" s="10" t="s">
        <v>556</v>
      </c>
      <c r="E83" s="52"/>
      <c r="F83" s="19"/>
      <c r="G83" s="19"/>
      <c r="H83" s="19"/>
      <c r="I83" s="6"/>
      <c r="J83" s="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  <c r="DP83" s="26"/>
      <c r="DQ83" s="26"/>
      <c r="DR83" s="26"/>
      <c r="DS83" s="26"/>
      <c r="DT83" s="26"/>
      <c r="DU83" s="26"/>
      <c r="DV83" s="26"/>
      <c r="DW83" s="26"/>
      <c r="DX83" s="26"/>
      <c r="DY83" s="26"/>
      <c r="DZ83" s="26"/>
      <c r="EA83" s="26"/>
      <c r="EB83" s="26"/>
      <c r="EC83" s="26"/>
      <c r="ED83" s="26"/>
      <c r="EE83" s="26"/>
      <c r="EF83" s="26"/>
      <c r="EG83" s="26"/>
      <c r="EH83" s="26"/>
      <c r="EI83" s="26"/>
      <c r="EJ83" s="26"/>
      <c r="EK83" s="26"/>
      <c r="EL83" s="26"/>
      <c r="EM83" s="26"/>
      <c r="EN83" s="26"/>
      <c r="EO83" s="26"/>
      <c r="EP83" s="26"/>
      <c r="EQ83" s="26"/>
      <c r="ER83" s="26"/>
      <c r="ES83" s="26"/>
      <c r="ET83" s="26"/>
      <c r="EU83" s="26"/>
      <c r="EV83" s="26"/>
      <c r="EW83" s="26"/>
      <c r="EX83" s="26"/>
      <c r="EY83" s="26"/>
      <c r="EZ83" s="26"/>
      <c r="FA83" s="26"/>
      <c r="FB83" s="26"/>
      <c r="FC83" s="26"/>
      <c r="FD83" s="26"/>
      <c r="FE83" s="26"/>
      <c r="FF83" s="26"/>
      <c r="FG83" s="26"/>
      <c r="FH83" s="26"/>
      <c r="FI83" s="26"/>
      <c r="FJ83" s="26"/>
      <c r="FK83" s="26"/>
      <c r="FL83" s="26"/>
      <c r="FM83" s="26"/>
      <c r="FN83" s="26"/>
      <c r="FO83" s="26"/>
      <c r="FP83" s="26"/>
      <c r="FQ83" s="26"/>
      <c r="FR83" s="26"/>
      <c r="FS83" s="26"/>
      <c r="FT83" s="26"/>
      <c r="FU83" s="26"/>
      <c r="FV83" s="26"/>
      <c r="FW83" s="26"/>
      <c r="FX83" s="26"/>
      <c r="FY83" s="26"/>
      <c r="FZ83" s="26"/>
      <c r="GA83" s="26"/>
      <c r="GB83" s="26"/>
    </row>
    <row r="84" spans="1:185" x14ac:dyDescent="0.2">
      <c r="A84">
        <v>107829</v>
      </c>
      <c r="B84" s="6" t="s">
        <v>557</v>
      </c>
      <c r="C84" s="6"/>
      <c r="D84" s="6" t="s">
        <v>558</v>
      </c>
      <c r="E84" s="52" t="s">
        <v>559</v>
      </c>
      <c r="F84" s="19" t="s">
        <v>560</v>
      </c>
      <c r="G84" s="19" t="s">
        <v>452</v>
      </c>
      <c r="H84" s="60"/>
      <c r="I84" s="6" t="s">
        <v>26</v>
      </c>
      <c r="J84" s="11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  <c r="DR84" s="26"/>
      <c r="DS84" s="26"/>
      <c r="DT84" s="26"/>
      <c r="DU84" s="26"/>
      <c r="DV84" s="26"/>
      <c r="DW84" s="26"/>
      <c r="DX84" s="26"/>
      <c r="DY84" s="26"/>
      <c r="DZ84" s="26"/>
      <c r="EA84" s="26"/>
      <c r="EB84" s="26"/>
      <c r="EC84" s="26"/>
      <c r="ED84" s="26"/>
      <c r="EE84" s="26"/>
      <c r="EF84" s="26"/>
      <c r="EG84" s="26"/>
      <c r="EH84" s="26"/>
      <c r="EI84" s="26"/>
      <c r="EJ84" s="26"/>
      <c r="EK84" s="26"/>
      <c r="EL84" s="26"/>
      <c r="EM84" s="26"/>
      <c r="EN84" s="26"/>
      <c r="EO84" s="26"/>
      <c r="EP84" s="26"/>
      <c r="EQ84" s="26"/>
      <c r="ER84" s="26"/>
      <c r="ES84" s="26"/>
      <c r="ET84" s="26"/>
      <c r="EU84" s="26"/>
      <c r="EV84" s="26"/>
      <c r="EW84" s="26"/>
      <c r="EX84" s="26"/>
      <c r="EY84" s="26"/>
      <c r="EZ84" s="26"/>
      <c r="FA84" s="26"/>
      <c r="FB84" s="26"/>
      <c r="FC84" s="26"/>
      <c r="FD84" s="26"/>
      <c r="FE84" s="26"/>
      <c r="FF84" s="26"/>
      <c r="FG84" s="26"/>
      <c r="FH84" s="26"/>
      <c r="FI84" s="26"/>
      <c r="FJ84" s="26"/>
      <c r="FK84" s="26"/>
      <c r="FL84" s="26"/>
      <c r="FM84" s="26"/>
      <c r="FN84" s="26"/>
      <c r="FO84" s="26"/>
      <c r="FP84" s="26"/>
      <c r="FQ84" s="26"/>
      <c r="FR84" s="26"/>
      <c r="FS84" s="26"/>
      <c r="FT84" s="26"/>
      <c r="FU84" s="26"/>
      <c r="FV84" s="26"/>
      <c r="FW84" s="26"/>
      <c r="FX84" s="26"/>
      <c r="FY84" s="26"/>
      <c r="FZ84" s="26"/>
      <c r="GA84" s="26"/>
      <c r="GB84" s="26"/>
    </row>
    <row r="85" spans="1:185" x14ac:dyDescent="0.2">
      <c r="B85" s="6" t="s">
        <v>561</v>
      </c>
      <c r="C85" s="6"/>
      <c r="D85" s="10"/>
      <c r="E85" s="52"/>
      <c r="F85" s="19"/>
      <c r="G85" s="19">
        <v>45709</v>
      </c>
      <c r="H85" s="19"/>
      <c r="I85" s="19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  <c r="DR85" s="26"/>
      <c r="DS85" s="26"/>
      <c r="DT85" s="26"/>
      <c r="DU85" s="26"/>
      <c r="DV85" s="26"/>
      <c r="DW85" s="26"/>
      <c r="DX85" s="26"/>
      <c r="DY85" s="26"/>
      <c r="DZ85" s="26"/>
      <c r="EA85" s="26"/>
      <c r="EB85" s="26"/>
      <c r="EC85" s="26"/>
      <c r="ED85" s="26"/>
      <c r="EE85" s="26"/>
      <c r="EF85" s="26"/>
      <c r="EG85" s="26"/>
      <c r="EH85" s="26"/>
      <c r="EI85" s="26"/>
      <c r="EJ85" s="26"/>
      <c r="EK85" s="26"/>
      <c r="EL85" s="26"/>
      <c r="EM85" s="26"/>
      <c r="EN85" s="26"/>
      <c r="EO85" s="26"/>
      <c r="EP85" s="26"/>
      <c r="EQ85" s="26"/>
      <c r="ER85" s="26"/>
      <c r="ES85" s="26"/>
      <c r="ET85" s="26"/>
      <c r="EU85" s="26"/>
      <c r="EV85" s="26"/>
      <c r="EW85" s="26"/>
      <c r="EX85" s="26"/>
      <c r="EY85" s="26"/>
      <c r="EZ85" s="26"/>
      <c r="FA85" s="26"/>
      <c r="FB85" s="26"/>
      <c r="FC85" s="26"/>
      <c r="FD85" s="26"/>
      <c r="FE85" s="26"/>
      <c r="FF85" s="26"/>
      <c r="FG85" s="26"/>
      <c r="FH85" s="26"/>
      <c r="FI85" s="26"/>
      <c r="FJ85" s="26"/>
      <c r="FK85" s="26"/>
      <c r="FL85" s="26"/>
      <c r="FM85" s="26"/>
      <c r="FN85" s="26"/>
      <c r="FO85" s="26"/>
      <c r="FP85" s="26"/>
      <c r="FQ85" s="26"/>
      <c r="FR85" s="26"/>
      <c r="FS85" s="26"/>
      <c r="FT85" s="26"/>
      <c r="FU85" s="26"/>
      <c r="FV85" s="26"/>
      <c r="FW85" s="26"/>
      <c r="FX85" s="26"/>
      <c r="FY85" s="26"/>
      <c r="FZ85" s="26"/>
      <c r="GA85" s="26"/>
    </row>
    <row r="86" spans="1:185" ht="16" x14ac:dyDescent="0.2">
      <c r="B86" s="6" t="s">
        <v>562</v>
      </c>
      <c r="C86" s="6"/>
      <c r="D86" s="10" t="s">
        <v>563</v>
      </c>
      <c r="E86" s="52" t="s">
        <v>28</v>
      </c>
      <c r="F86" s="19" t="s">
        <v>546</v>
      </c>
      <c r="G86" s="19">
        <v>45748</v>
      </c>
      <c r="H86" s="6" t="s">
        <v>26</v>
      </c>
      <c r="I86" s="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  <c r="DR86" s="26"/>
      <c r="DS86" s="26"/>
      <c r="DT86" s="26"/>
      <c r="DU86" s="26"/>
      <c r="DV86" s="26"/>
      <c r="DW86" s="26"/>
      <c r="DX86" s="26"/>
      <c r="DY86" s="26"/>
      <c r="DZ86" s="26"/>
      <c r="EA86" s="26"/>
      <c r="EB86" s="26"/>
      <c r="EC86" s="26"/>
      <c r="ED86" s="26"/>
      <c r="EE86" s="26"/>
      <c r="EF86" s="26"/>
      <c r="EG86" s="26"/>
      <c r="EH86" s="26"/>
      <c r="EI86" s="26"/>
      <c r="EJ86" s="26"/>
      <c r="EK86" s="26"/>
      <c r="EL86" s="26"/>
      <c r="EM86" s="26"/>
      <c r="EN86" s="26"/>
      <c r="EO86" s="26"/>
      <c r="EP86" s="26"/>
      <c r="EQ86" s="26"/>
      <c r="ER86" s="26"/>
      <c r="ES86" s="26"/>
      <c r="ET86" s="26"/>
      <c r="EU86" s="26"/>
      <c r="EV86" s="26"/>
      <c r="EW86" s="26"/>
      <c r="EX86" s="26"/>
      <c r="EY86" s="26"/>
      <c r="EZ86" s="26"/>
      <c r="FA86" s="26"/>
      <c r="FB86" s="26"/>
      <c r="FC86" s="26"/>
      <c r="FD86" s="26"/>
      <c r="FE86" s="26"/>
      <c r="FF86" s="26"/>
      <c r="FG86" s="26"/>
      <c r="FH86" s="26"/>
      <c r="FI86" s="26"/>
      <c r="FJ86" s="26"/>
      <c r="FK86" s="26"/>
      <c r="FL86" s="26"/>
      <c r="FM86" s="26"/>
      <c r="FN86" s="26"/>
      <c r="FO86" s="26"/>
      <c r="FP86" s="26"/>
      <c r="FQ86" s="26"/>
      <c r="FR86" s="26"/>
      <c r="FS86" s="26"/>
      <c r="FT86" s="26"/>
      <c r="FU86" s="26"/>
      <c r="FV86" s="26"/>
      <c r="FW86" s="26"/>
      <c r="FX86" s="26"/>
      <c r="FY86" s="26"/>
      <c r="FZ86" s="26"/>
      <c r="GA86" s="26"/>
    </row>
    <row r="87" spans="1:185" ht="16" x14ac:dyDescent="0.2">
      <c r="B87" s="6" t="s">
        <v>200</v>
      </c>
      <c r="C87" s="6"/>
      <c r="D87" s="10" t="s">
        <v>564</v>
      </c>
      <c r="E87" s="52" t="s">
        <v>565</v>
      </c>
      <c r="F87" s="19" t="s">
        <v>546</v>
      </c>
      <c r="G87" s="19">
        <v>45748</v>
      </c>
      <c r="H87" s="6" t="s">
        <v>26</v>
      </c>
      <c r="I87" s="6" t="s">
        <v>27</v>
      </c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6"/>
      <c r="EW87" s="26"/>
      <c r="EX87" s="26"/>
      <c r="EY87" s="26"/>
      <c r="EZ87" s="26"/>
      <c r="FA87" s="26"/>
      <c r="FB87" s="26"/>
      <c r="FC87" s="26"/>
      <c r="FD87" s="26"/>
      <c r="FE87" s="26"/>
      <c r="FF87" s="26"/>
      <c r="FG87" s="26"/>
      <c r="FH87" s="26"/>
      <c r="FI87" s="26"/>
      <c r="FJ87" s="26"/>
      <c r="FK87" s="26"/>
      <c r="FL87" s="26"/>
      <c r="FM87" s="26"/>
      <c r="FN87" s="26"/>
      <c r="FO87" s="26"/>
      <c r="FP87" s="26"/>
      <c r="FQ87" s="26"/>
      <c r="FR87" s="26"/>
      <c r="FS87" s="26"/>
      <c r="FT87" s="26"/>
      <c r="FU87" s="26"/>
      <c r="FV87" s="26"/>
      <c r="FW87" s="26"/>
      <c r="FX87" s="26"/>
      <c r="FY87" s="26"/>
      <c r="FZ87" s="26"/>
      <c r="GA87" s="26"/>
    </row>
    <row r="88" spans="1:185" ht="16" x14ac:dyDescent="0.2">
      <c r="B88" s="42" t="s">
        <v>566</v>
      </c>
      <c r="C88" s="42"/>
      <c r="D88" s="63" t="s">
        <v>567</v>
      </c>
      <c r="E88" s="55"/>
      <c r="F88" s="21"/>
      <c r="G88" s="21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  <c r="DR88" s="26"/>
      <c r="DS88" s="26"/>
      <c r="DT88" s="26"/>
      <c r="DU88" s="26"/>
      <c r="DV88" s="26"/>
      <c r="DW88" s="26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  <c r="EN88" s="26"/>
      <c r="EO88" s="26"/>
      <c r="EP88" s="26"/>
      <c r="EQ88" s="26"/>
      <c r="ER88" s="26"/>
      <c r="ES88" s="26"/>
      <c r="ET88" s="26"/>
      <c r="EU88" s="26"/>
      <c r="EV88" s="26"/>
      <c r="EW88" s="26"/>
      <c r="EX88" s="26"/>
      <c r="EY88" s="26"/>
      <c r="EZ88" s="26"/>
      <c r="FA88" s="26"/>
      <c r="FB88" s="26"/>
      <c r="FC88" s="26"/>
      <c r="FD88" s="26"/>
      <c r="FE88" s="26"/>
      <c r="FF88" s="26"/>
      <c r="FG88" s="26"/>
      <c r="FH88" s="26"/>
      <c r="FI88" s="26"/>
      <c r="FJ88" s="26"/>
      <c r="FK88" s="26"/>
      <c r="FL88" s="26"/>
      <c r="FM88" s="26"/>
      <c r="FN88" s="26"/>
      <c r="FO88" s="26"/>
      <c r="FP88" s="26"/>
      <c r="FQ88" s="26"/>
      <c r="FR88" s="26"/>
      <c r="FS88" s="26"/>
      <c r="FT88" s="26"/>
      <c r="FU88" s="26"/>
      <c r="FV88" s="26"/>
      <c r="FW88" s="26"/>
      <c r="FX88" s="26"/>
      <c r="FY88" s="26"/>
      <c r="FZ88" s="26"/>
      <c r="GA88" s="26"/>
    </row>
    <row r="89" spans="1:185" ht="32" x14ac:dyDescent="0.2">
      <c r="B89" s="6" t="s">
        <v>568</v>
      </c>
      <c r="C89" s="6" t="s">
        <v>569</v>
      </c>
      <c r="D89" s="10" t="s">
        <v>570</v>
      </c>
      <c r="E89" s="52"/>
      <c r="F89" s="19"/>
      <c r="G89" s="19">
        <v>45792</v>
      </c>
      <c r="H89" s="6"/>
      <c r="I89" s="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6"/>
      <c r="EY89" s="26"/>
      <c r="EZ89" s="26"/>
      <c r="FA89" s="26"/>
      <c r="FB89" s="26"/>
      <c r="FC89" s="26"/>
      <c r="FD89" s="26"/>
      <c r="FE89" s="26"/>
      <c r="FF89" s="26"/>
      <c r="FG89" s="26"/>
      <c r="FH89" s="26"/>
      <c r="FI89" s="26"/>
      <c r="FJ89" s="26"/>
      <c r="FK89" s="26"/>
      <c r="FL89" s="26"/>
      <c r="FM89" s="26"/>
      <c r="FN89" s="26"/>
      <c r="FO89" s="26"/>
      <c r="FP89" s="26"/>
      <c r="FQ89" s="26"/>
      <c r="FR89" s="26"/>
      <c r="FS89" s="26"/>
      <c r="FT89" s="26"/>
      <c r="FU89" s="26"/>
      <c r="FV89" s="26"/>
      <c r="FW89" s="26"/>
      <c r="FX89" s="26"/>
      <c r="FY89" s="26"/>
      <c r="FZ89" s="26"/>
      <c r="GA89" s="26"/>
    </row>
    <row r="90" spans="1:185" x14ac:dyDescent="0.2">
      <c r="B90" s="6" t="s">
        <v>571</v>
      </c>
      <c r="C90" s="6" t="s">
        <v>426</v>
      </c>
      <c r="D90" s="10"/>
      <c r="E90" s="52"/>
      <c r="F90" s="19"/>
      <c r="G90" s="60"/>
      <c r="H90" s="6"/>
      <c r="I90" s="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  <c r="DR90" s="26"/>
      <c r="DS90" s="26"/>
      <c r="DT90" s="26"/>
      <c r="DU90" s="26"/>
      <c r="DV90" s="26"/>
      <c r="DW90" s="26"/>
      <c r="DX90" s="26"/>
      <c r="DY90" s="26"/>
      <c r="DZ90" s="26"/>
      <c r="EA90" s="26"/>
      <c r="EB90" s="26"/>
      <c r="EC90" s="26"/>
      <c r="ED90" s="26"/>
      <c r="EE90" s="26"/>
      <c r="EF90" s="26"/>
      <c r="EG90" s="26"/>
      <c r="EH90" s="26"/>
      <c r="EI90" s="26"/>
      <c r="EJ90" s="26"/>
      <c r="EK90" s="26"/>
      <c r="EL90" s="26"/>
      <c r="EM90" s="26"/>
      <c r="EN90" s="26"/>
      <c r="EO90" s="26"/>
      <c r="EP90" s="26"/>
      <c r="EQ90" s="26"/>
      <c r="ER90" s="26"/>
      <c r="ES90" s="26"/>
      <c r="ET90" s="26"/>
      <c r="EU90" s="26"/>
      <c r="EV90" s="26"/>
      <c r="EW90" s="26"/>
      <c r="EX90" s="26"/>
      <c r="EY90" s="26"/>
      <c r="EZ90" s="26"/>
      <c r="FA90" s="26"/>
      <c r="FB90" s="26"/>
      <c r="FC90" s="26"/>
      <c r="FD90" s="26"/>
      <c r="FE90" s="26"/>
      <c r="FF90" s="26"/>
      <c r="FG90" s="26"/>
      <c r="FH90" s="26"/>
      <c r="FI90" s="26"/>
      <c r="FJ90" s="26"/>
      <c r="FK90" s="26"/>
      <c r="FL90" s="26"/>
      <c r="FM90" s="26"/>
      <c r="FN90" s="26"/>
      <c r="FO90" s="26"/>
      <c r="FP90" s="26"/>
      <c r="FQ90" s="26"/>
      <c r="FR90" s="26"/>
      <c r="FS90" s="26"/>
      <c r="FT90" s="26"/>
      <c r="FU90" s="26"/>
      <c r="FV90" s="26"/>
      <c r="FW90" s="26"/>
      <c r="FX90" s="26"/>
      <c r="FY90" s="26"/>
      <c r="FZ90" s="26"/>
      <c r="GA90" s="26"/>
    </row>
    <row r="91" spans="1:185" x14ac:dyDescent="0.2">
      <c r="B91" s="6" t="s">
        <v>572</v>
      </c>
      <c r="C91" s="6" t="s">
        <v>203</v>
      </c>
      <c r="D91" s="10"/>
      <c r="E91" s="52" t="s">
        <v>552</v>
      </c>
      <c r="F91" s="19" t="s">
        <v>573</v>
      </c>
      <c r="G91" s="19"/>
      <c r="H91" s="6" t="s">
        <v>43</v>
      </c>
      <c r="I91" s="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  <c r="DR91" s="26"/>
      <c r="DS91" s="26"/>
      <c r="DT91" s="26"/>
      <c r="DU91" s="26"/>
      <c r="DV91" s="26"/>
      <c r="DW91" s="26"/>
      <c r="DX91" s="26"/>
      <c r="DY91" s="26"/>
      <c r="DZ91" s="26"/>
      <c r="EA91" s="26"/>
      <c r="EB91" s="26"/>
      <c r="EC91" s="26"/>
      <c r="ED91" s="26"/>
      <c r="EE91" s="26"/>
      <c r="EF91" s="26"/>
      <c r="EG91" s="26"/>
      <c r="EH91" s="26"/>
      <c r="EI91" s="26"/>
      <c r="EJ91" s="26"/>
      <c r="EK91" s="26"/>
      <c r="EL91" s="26"/>
      <c r="EM91" s="26"/>
      <c r="EN91" s="26"/>
      <c r="EO91" s="26"/>
      <c r="EP91" s="26"/>
      <c r="EQ91" s="26"/>
      <c r="ER91" s="26"/>
      <c r="ES91" s="26"/>
      <c r="ET91" s="26"/>
      <c r="EU91" s="26"/>
      <c r="EV91" s="26"/>
      <c r="EW91" s="26"/>
      <c r="EX91" s="26"/>
      <c r="EY91" s="26"/>
      <c r="EZ91" s="26"/>
      <c r="FA91" s="26"/>
      <c r="FB91" s="26"/>
      <c r="FC91" s="26"/>
      <c r="FD91" s="26"/>
      <c r="FE91" s="26"/>
      <c r="FF91" s="26"/>
      <c r="FG91" s="26"/>
      <c r="FH91" s="26"/>
      <c r="FI91" s="26"/>
      <c r="FJ91" s="26"/>
      <c r="FK91" s="26"/>
      <c r="FL91" s="26"/>
      <c r="FM91" s="26"/>
      <c r="FN91" s="26"/>
      <c r="FO91" s="26"/>
      <c r="FP91" s="26"/>
      <c r="FQ91" s="26"/>
      <c r="FR91" s="26"/>
      <c r="FS91" s="26"/>
      <c r="FT91" s="26"/>
      <c r="FU91" s="26"/>
      <c r="FV91" s="26"/>
      <c r="FW91" s="26"/>
      <c r="FX91" s="26"/>
      <c r="FY91" s="26"/>
      <c r="FZ91" s="26"/>
      <c r="GA91" s="26"/>
    </row>
    <row r="92" spans="1:185" x14ac:dyDescent="0.2">
      <c r="B92" s="6" t="s">
        <v>574</v>
      </c>
      <c r="C92" s="6" t="s">
        <v>402</v>
      </c>
      <c r="D92" s="6"/>
      <c r="E92" s="52" t="s">
        <v>575</v>
      </c>
      <c r="F92" s="19">
        <v>45736</v>
      </c>
      <c r="G92" s="19">
        <v>45778</v>
      </c>
      <c r="H92" s="6" t="s">
        <v>468</v>
      </c>
      <c r="I92" s="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6"/>
      <c r="EY92" s="26"/>
      <c r="EZ92" s="26"/>
      <c r="FA92" s="26"/>
      <c r="FB92" s="26"/>
      <c r="FC92" s="26"/>
      <c r="FD92" s="26"/>
      <c r="FE92" s="26"/>
      <c r="FF92" s="26"/>
      <c r="FG92" s="26"/>
      <c r="FH92" s="26"/>
      <c r="FI92" s="26"/>
      <c r="FJ92" s="26"/>
      <c r="FK92" s="26"/>
      <c r="FL92" s="26"/>
      <c r="FM92" s="26"/>
      <c r="FN92" s="26"/>
      <c r="FO92" s="26"/>
      <c r="FP92" s="26"/>
      <c r="FQ92" s="26"/>
      <c r="FR92" s="26"/>
      <c r="FS92" s="26"/>
      <c r="FT92" s="26"/>
      <c r="FU92" s="26"/>
      <c r="FV92" s="26"/>
      <c r="FW92" s="26"/>
      <c r="FX92" s="26"/>
      <c r="FY92" s="26"/>
      <c r="FZ92" s="26"/>
      <c r="GA92" s="26"/>
    </row>
    <row r="93" spans="1:185" ht="32" x14ac:dyDescent="0.2">
      <c r="B93" s="6" t="s">
        <v>576</v>
      </c>
      <c r="C93" s="6" t="s">
        <v>15</v>
      </c>
      <c r="D93" s="10" t="s">
        <v>577</v>
      </c>
      <c r="E93" s="52" t="s">
        <v>578</v>
      </c>
      <c r="F93" s="19" t="s">
        <v>579</v>
      </c>
      <c r="G93" s="19"/>
      <c r="H93" s="6"/>
      <c r="I93" s="6" t="s">
        <v>27</v>
      </c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  <c r="DR93" s="26"/>
      <c r="DS93" s="26"/>
      <c r="DT93" s="26"/>
      <c r="DU93" s="26"/>
      <c r="DV93" s="26"/>
      <c r="DW93" s="26"/>
      <c r="DX93" s="26"/>
      <c r="DY93" s="26"/>
      <c r="DZ93" s="26"/>
      <c r="EA93" s="26"/>
      <c r="EB93" s="26"/>
      <c r="EC93" s="26"/>
      <c r="ED93" s="26"/>
      <c r="EE93" s="26"/>
      <c r="EF93" s="26"/>
      <c r="EG93" s="26"/>
      <c r="EH93" s="26"/>
      <c r="EI93" s="26"/>
      <c r="EJ93" s="26"/>
      <c r="EK93" s="26"/>
      <c r="EL93" s="26"/>
      <c r="EM93" s="26"/>
      <c r="EN93" s="26"/>
      <c r="EO93" s="26"/>
      <c r="EP93" s="26"/>
      <c r="EQ93" s="26"/>
      <c r="ER93" s="26"/>
      <c r="ES93" s="26"/>
      <c r="ET93" s="26"/>
      <c r="EU93" s="26"/>
      <c r="EV93" s="26"/>
      <c r="EW93" s="26"/>
      <c r="EX93" s="26"/>
      <c r="EY93" s="26"/>
      <c r="EZ93" s="26"/>
      <c r="FA93" s="26"/>
      <c r="FB93" s="26"/>
      <c r="FC93" s="26"/>
      <c r="FD93" s="26"/>
      <c r="FE93" s="26"/>
      <c r="FF93" s="26"/>
      <c r="FG93" s="26"/>
      <c r="FH93" s="26"/>
      <c r="FI93" s="26"/>
      <c r="FJ93" s="26"/>
      <c r="FK93" s="26"/>
      <c r="FL93" s="26"/>
      <c r="FM93" s="26"/>
      <c r="FN93" s="26"/>
      <c r="FO93" s="26"/>
      <c r="FP93" s="26"/>
      <c r="FQ93" s="26"/>
      <c r="FR93" s="26"/>
      <c r="FS93" s="26"/>
      <c r="FT93" s="26"/>
      <c r="FU93" s="26"/>
      <c r="FV93" s="26"/>
      <c r="FW93" s="26"/>
      <c r="FX93" s="26"/>
      <c r="FY93" s="26"/>
      <c r="FZ93" s="26"/>
      <c r="GA93" s="26"/>
    </row>
    <row r="94" spans="1:185" ht="16" x14ac:dyDescent="0.2">
      <c r="B94" s="6" t="s">
        <v>580</v>
      </c>
      <c r="C94" s="6" t="s">
        <v>278</v>
      </c>
      <c r="D94" s="10" t="s">
        <v>581</v>
      </c>
      <c r="E94" s="52"/>
      <c r="F94" s="19"/>
      <c r="G94" s="60"/>
      <c r="H94" s="6"/>
      <c r="I94" s="6" t="s">
        <v>43</v>
      </c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  <c r="DP94" s="26"/>
      <c r="DQ94" s="26"/>
      <c r="DR94" s="26"/>
      <c r="DS94" s="26"/>
      <c r="DT94" s="26"/>
      <c r="DU94" s="26"/>
      <c r="DV94" s="26"/>
      <c r="DW94" s="26"/>
      <c r="DX94" s="26"/>
      <c r="DY94" s="26"/>
      <c r="DZ94" s="26"/>
      <c r="EA94" s="26"/>
      <c r="EB94" s="26"/>
      <c r="EC94" s="26"/>
      <c r="ED94" s="26"/>
      <c r="EE94" s="26"/>
      <c r="EF94" s="26"/>
      <c r="EG94" s="26"/>
      <c r="EH94" s="26"/>
      <c r="EI94" s="26"/>
      <c r="EJ94" s="26"/>
      <c r="EK94" s="26"/>
      <c r="EL94" s="26"/>
      <c r="EM94" s="26"/>
      <c r="EN94" s="26"/>
      <c r="EO94" s="26"/>
      <c r="EP94" s="26"/>
      <c r="EQ94" s="26"/>
      <c r="ER94" s="26"/>
      <c r="ES94" s="26"/>
      <c r="ET94" s="26"/>
      <c r="EU94" s="26"/>
      <c r="EV94" s="26"/>
      <c r="EW94" s="26"/>
      <c r="EX94" s="26"/>
      <c r="EY94" s="26"/>
      <c r="EZ94" s="26"/>
      <c r="FA94" s="26"/>
      <c r="FB94" s="26"/>
      <c r="FC94" s="26"/>
      <c r="FD94" s="26"/>
      <c r="FE94" s="26"/>
      <c r="FF94" s="26"/>
      <c r="FG94" s="26"/>
      <c r="FH94" s="26"/>
      <c r="FI94" s="26"/>
      <c r="FJ94" s="26"/>
      <c r="FK94" s="26"/>
      <c r="FL94" s="26"/>
      <c r="FM94" s="26"/>
      <c r="FN94" s="26"/>
      <c r="FO94" s="26"/>
      <c r="FP94" s="26"/>
      <c r="FQ94" s="26"/>
      <c r="FR94" s="26"/>
      <c r="FS94" s="26"/>
      <c r="FT94" s="26"/>
      <c r="FU94" s="26"/>
      <c r="FV94" s="26"/>
      <c r="FW94" s="26"/>
      <c r="FX94" s="26"/>
      <c r="FY94" s="26"/>
      <c r="FZ94" s="26"/>
      <c r="GA94" s="26"/>
    </row>
    <row r="95" spans="1:185" ht="16" x14ac:dyDescent="0.2">
      <c r="B95" s="6" t="s">
        <v>582</v>
      </c>
      <c r="C95" s="6" t="s">
        <v>135</v>
      </c>
      <c r="D95" s="10" t="s">
        <v>583</v>
      </c>
      <c r="E95" s="10"/>
      <c r="F95" s="10"/>
      <c r="G95" s="52"/>
      <c r="H95" s="19"/>
      <c r="I95" s="19"/>
      <c r="J95" s="6"/>
      <c r="K95" s="32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  <c r="DR95" s="26"/>
      <c r="DS95" s="26"/>
      <c r="DT95" s="26"/>
      <c r="DU95" s="26"/>
      <c r="DV95" s="26"/>
      <c r="DW95" s="26"/>
      <c r="DX95" s="26"/>
      <c r="DY95" s="26"/>
      <c r="DZ95" s="26"/>
      <c r="EA95" s="26"/>
      <c r="EB95" s="26"/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  <c r="EP95" s="26"/>
      <c r="EQ95" s="26"/>
      <c r="ER95" s="26"/>
      <c r="ES95" s="26"/>
      <c r="ET95" s="26"/>
      <c r="EU95" s="26"/>
      <c r="EV95" s="26"/>
      <c r="EW95" s="26"/>
      <c r="EX95" s="26"/>
      <c r="EY95" s="26"/>
      <c r="EZ95" s="26"/>
      <c r="FA95" s="26"/>
      <c r="FB95" s="26"/>
      <c r="FC95" s="26"/>
      <c r="FD95" s="26"/>
      <c r="FE95" s="26"/>
      <c r="FF95" s="26"/>
      <c r="FG95" s="26"/>
      <c r="FH95" s="26"/>
      <c r="FI95" s="26"/>
      <c r="FJ95" s="26"/>
      <c r="FK95" s="26"/>
      <c r="FL95" s="26"/>
      <c r="FM95" s="26"/>
      <c r="FN95" s="26"/>
      <c r="FO95" s="26"/>
      <c r="FP95" s="26"/>
      <c r="FQ95" s="26"/>
      <c r="FR95" s="26"/>
      <c r="FS95" s="26"/>
      <c r="FT95" s="26"/>
      <c r="FU95" s="26"/>
      <c r="FV95" s="26"/>
      <c r="FW95" s="26"/>
      <c r="FX95" s="26"/>
      <c r="FY95" s="26"/>
      <c r="FZ95" s="26"/>
      <c r="GA95" s="26"/>
      <c r="GB95" s="26"/>
      <c r="GC95" s="26"/>
    </row>
    <row r="96" spans="1:185" ht="16" x14ac:dyDescent="0.2">
      <c r="B96" s="11" t="s">
        <v>584</v>
      </c>
      <c r="C96" s="11" t="s">
        <v>585</v>
      </c>
      <c r="D96" s="16" t="s">
        <v>586</v>
      </c>
      <c r="E96" s="16"/>
      <c r="F96" s="16"/>
      <c r="G96" s="53"/>
      <c r="H96" s="14" t="s">
        <v>587</v>
      </c>
      <c r="I96" s="61"/>
      <c r="J96" s="11" t="s">
        <v>43</v>
      </c>
      <c r="K96" s="11" t="s">
        <v>48</v>
      </c>
      <c r="L96" s="27"/>
      <c r="M96" s="27"/>
      <c r="N96" s="27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6"/>
      <c r="DI96" s="26"/>
      <c r="DJ96" s="26"/>
      <c r="DK96" s="26"/>
      <c r="DL96" s="26"/>
      <c r="DM96" s="26"/>
      <c r="DN96" s="26"/>
      <c r="DO96" s="26"/>
      <c r="DP96" s="26"/>
      <c r="DQ96" s="26"/>
      <c r="DR96" s="26"/>
      <c r="DS96" s="26"/>
      <c r="DT96" s="26"/>
      <c r="DU96" s="26"/>
      <c r="DV96" s="26"/>
      <c r="DW96" s="26"/>
      <c r="DX96" s="26"/>
      <c r="DY96" s="26"/>
      <c r="DZ96" s="26"/>
      <c r="EA96" s="26"/>
      <c r="EB96" s="26"/>
      <c r="EC96" s="26"/>
      <c r="ED96" s="26"/>
      <c r="EE96" s="26"/>
      <c r="EF96" s="26"/>
      <c r="EG96" s="26"/>
      <c r="EH96" s="26"/>
      <c r="EI96" s="26"/>
      <c r="EJ96" s="26"/>
      <c r="EK96" s="26"/>
      <c r="EL96" s="26"/>
      <c r="EM96" s="26"/>
      <c r="EN96" s="26"/>
      <c r="EO96" s="26"/>
      <c r="EP96" s="26"/>
      <c r="EQ96" s="26"/>
      <c r="ER96" s="26"/>
      <c r="ES96" s="26"/>
      <c r="ET96" s="26"/>
      <c r="EU96" s="26"/>
      <c r="EV96" s="26"/>
      <c r="EW96" s="26"/>
      <c r="EX96" s="26"/>
      <c r="EY96" s="26"/>
      <c r="EZ96" s="26"/>
      <c r="FA96" s="26"/>
      <c r="FB96" s="26"/>
      <c r="FC96" s="26"/>
      <c r="FD96" s="26"/>
      <c r="FE96" s="26"/>
      <c r="FF96" s="26"/>
      <c r="FG96" s="26"/>
      <c r="FH96" s="26"/>
      <c r="FI96" s="26"/>
      <c r="FJ96" s="26"/>
      <c r="FK96" s="26"/>
      <c r="FL96" s="26"/>
      <c r="FM96" s="26"/>
      <c r="FN96" s="26"/>
      <c r="FO96" s="26"/>
      <c r="FP96" s="26"/>
      <c r="FQ96" s="26"/>
      <c r="FR96" s="26"/>
      <c r="FS96" s="26"/>
      <c r="FT96" s="26"/>
      <c r="FU96" s="26"/>
      <c r="FV96" s="26"/>
      <c r="FW96" s="26"/>
      <c r="FX96" s="26"/>
      <c r="FY96" s="26"/>
      <c r="FZ96" s="26"/>
      <c r="GA96" s="26"/>
      <c r="GB96" s="26"/>
      <c r="GC96" s="26"/>
    </row>
    <row r="97" spans="1:185" x14ac:dyDescent="0.2">
      <c r="B97" s="6" t="s">
        <v>588</v>
      </c>
      <c r="C97" s="6"/>
      <c r="D97" s="6" t="s">
        <v>589</v>
      </c>
      <c r="E97" s="6"/>
      <c r="F97" s="6"/>
      <c r="G97" s="52" t="s">
        <v>590</v>
      </c>
      <c r="H97" s="19"/>
      <c r="I97" s="19" t="s">
        <v>43</v>
      </c>
      <c r="J97" s="6" t="s">
        <v>43</v>
      </c>
      <c r="K97" s="6" t="s">
        <v>120</v>
      </c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</row>
    <row r="98" spans="1:185" x14ac:dyDescent="0.2">
      <c r="B98" s="6" t="s">
        <v>591</v>
      </c>
      <c r="C98" s="6"/>
      <c r="D98" s="16"/>
      <c r="E98" s="16"/>
      <c r="F98" s="16"/>
      <c r="G98" s="51"/>
      <c r="H98" s="20"/>
      <c r="I98" s="20"/>
      <c r="J98" s="6"/>
      <c r="K98" s="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</row>
    <row r="99" spans="1:185" ht="32" x14ac:dyDescent="0.2">
      <c r="B99" t="s">
        <v>538</v>
      </c>
      <c r="D99" s="64" t="s">
        <v>592</v>
      </c>
      <c r="E99" s="64"/>
      <c r="F99" s="64"/>
      <c r="G99" s="55"/>
      <c r="H99" s="21"/>
      <c r="I99" s="21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</row>
    <row r="100" spans="1:185" ht="16" x14ac:dyDescent="0.2">
      <c r="B100" s="6" t="s">
        <v>593</v>
      </c>
      <c r="C100" s="6" t="s">
        <v>203</v>
      </c>
      <c r="D100" s="10" t="s">
        <v>594</v>
      </c>
      <c r="E100" s="10"/>
      <c r="F100" s="10"/>
      <c r="G100" s="52" t="s">
        <v>595</v>
      </c>
      <c r="H100" s="19" t="s">
        <v>546</v>
      </c>
      <c r="I100" s="60">
        <v>45717</v>
      </c>
      <c r="J100" s="6" t="s">
        <v>43</v>
      </c>
      <c r="K100" s="6" t="s">
        <v>27</v>
      </c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</row>
    <row r="101" spans="1:185" ht="16" x14ac:dyDescent="0.2">
      <c r="B101" s="6" t="s">
        <v>596</v>
      </c>
      <c r="C101" s="6" t="s">
        <v>135</v>
      </c>
      <c r="D101" s="16" t="s">
        <v>597</v>
      </c>
      <c r="E101" s="16"/>
      <c r="F101" s="16"/>
      <c r="G101" s="51"/>
      <c r="H101" s="20"/>
      <c r="I101" s="19"/>
      <c r="J101" s="19"/>
      <c r="K101" s="19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</row>
    <row r="102" spans="1:185" ht="16" x14ac:dyDescent="0.2">
      <c r="A102">
        <v>106963</v>
      </c>
      <c r="B102" s="6" t="s">
        <v>598</v>
      </c>
      <c r="C102" s="6" t="s">
        <v>135</v>
      </c>
      <c r="D102" s="16" t="s">
        <v>599</v>
      </c>
      <c r="E102" s="16"/>
      <c r="F102" s="16"/>
      <c r="G102" s="59"/>
      <c r="H102" s="19">
        <v>45731</v>
      </c>
      <c r="I102" s="19">
        <v>45809</v>
      </c>
      <c r="J102" s="6" t="s">
        <v>26</v>
      </c>
      <c r="K102" s="11" t="s">
        <v>27</v>
      </c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</row>
    <row r="103" spans="1:185" x14ac:dyDescent="0.2">
      <c r="A103">
        <v>107523</v>
      </c>
      <c r="B103" s="6" t="s">
        <v>600</v>
      </c>
      <c r="C103" s="43" t="s">
        <v>42</v>
      </c>
      <c r="D103" s="6" t="s">
        <v>601</v>
      </c>
      <c r="E103" s="6"/>
      <c r="F103" s="6"/>
      <c r="G103" s="52" t="s">
        <v>602</v>
      </c>
      <c r="H103" s="19" t="s">
        <v>587</v>
      </c>
      <c r="I103" s="19">
        <v>45731</v>
      </c>
      <c r="J103" s="6" t="s">
        <v>43</v>
      </c>
      <c r="K103" s="32" t="s">
        <v>48</v>
      </c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</row>
    <row r="104" spans="1:185" ht="16" x14ac:dyDescent="0.2">
      <c r="A104">
        <v>106963</v>
      </c>
      <c r="B104" s="6" t="s">
        <v>603</v>
      </c>
      <c r="C104" s="6" t="s">
        <v>135</v>
      </c>
      <c r="D104" s="10" t="s">
        <v>604</v>
      </c>
      <c r="E104" s="10"/>
      <c r="F104" s="10"/>
      <c r="G104" s="52" t="s">
        <v>605</v>
      </c>
      <c r="H104" s="19"/>
      <c r="I104" s="19">
        <v>45809</v>
      </c>
      <c r="J104" s="6" t="s">
        <v>26</v>
      </c>
      <c r="K104" s="32" t="s">
        <v>48</v>
      </c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</row>
    <row r="105" spans="1:185" ht="16" x14ac:dyDescent="0.2">
      <c r="B105" s="6" t="s">
        <v>606</v>
      </c>
      <c r="C105" s="6" t="s">
        <v>45</v>
      </c>
      <c r="D105" s="10" t="s">
        <v>607</v>
      </c>
      <c r="E105" s="10"/>
      <c r="F105" s="10"/>
      <c r="G105" s="52"/>
      <c r="H105" s="19"/>
      <c r="I105" s="60"/>
      <c r="J105" s="6"/>
      <c r="K105" s="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</row>
    <row r="106" spans="1:185" ht="16" x14ac:dyDescent="0.2">
      <c r="B106" s="6" t="s">
        <v>608</v>
      </c>
      <c r="C106" s="6" t="s">
        <v>609</v>
      </c>
      <c r="D106" s="10" t="s">
        <v>610</v>
      </c>
      <c r="E106" s="52" t="s">
        <v>611</v>
      </c>
      <c r="F106" s="20" t="s">
        <v>579</v>
      </c>
      <c r="G106" s="20">
        <v>45870</v>
      </c>
      <c r="H106" s="8" t="s">
        <v>26</v>
      </c>
      <c r="I106" s="32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</row>
    <row r="107" spans="1:185" ht="16" x14ac:dyDescent="0.2">
      <c r="B107" s="6" t="s">
        <v>612</v>
      </c>
      <c r="C107" s="6" t="s">
        <v>613</v>
      </c>
      <c r="D107" s="10" t="s">
        <v>614</v>
      </c>
      <c r="E107" s="52"/>
      <c r="F107" s="19"/>
      <c r="G107" s="19"/>
      <c r="H107" s="6"/>
      <c r="I107" s="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  <c r="DR107" s="26"/>
      <c r="DS107" s="26"/>
      <c r="DT107" s="26"/>
      <c r="DU107" s="26"/>
      <c r="DV107" s="26"/>
      <c r="DW107" s="26"/>
      <c r="DX107" s="26"/>
      <c r="DY107" s="26"/>
      <c r="DZ107" s="26"/>
      <c r="EA107" s="26"/>
      <c r="EB107" s="26"/>
      <c r="EC107" s="26"/>
      <c r="ED107" s="26"/>
      <c r="EE107" s="26"/>
      <c r="EF107" s="26"/>
      <c r="EG107" s="26"/>
      <c r="EH107" s="26"/>
      <c r="EI107" s="26"/>
      <c r="EJ107" s="26"/>
      <c r="EK107" s="26"/>
      <c r="EL107" s="26"/>
      <c r="EM107" s="26"/>
      <c r="EN107" s="26"/>
      <c r="EO107" s="26"/>
      <c r="EP107" s="26"/>
      <c r="EQ107" s="26"/>
      <c r="ER107" s="26"/>
      <c r="ES107" s="26"/>
      <c r="ET107" s="26"/>
      <c r="EU107" s="26"/>
      <c r="EV107" s="26"/>
      <c r="EW107" s="26"/>
      <c r="EX107" s="26"/>
      <c r="EY107" s="26"/>
      <c r="EZ107" s="26"/>
      <c r="FA107" s="26"/>
      <c r="FB107" s="26"/>
      <c r="FC107" s="26"/>
      <c r="FD107" s="26"/>
      <c r="FE107" s="26"/>
      <c r="FF107" s="26"/>
      <c r="FG107" s="26"/>
      <c r="FH107" s="26"/>
      <c r="FI107" s="26"/>
      <c r="FJ107" s="26"/>
      <c r="FK107" s="26"/>
      <c r="FL107" s="26"/>
      <c r="FM107" s="26"/>
      <c r="FN107" s="26"/>
      <c r="FO107" s="26"/>
      <c r="FP107" s="26"/>
      <c r="FQ107" s="26"/>
      <c r="FR107" s="26"/>
      <c r="FS107" s="26"/>
      <c r="FT107" s="26"/>
      <c r="FU107" s="26"/>
      <c r="FV107" s="26"/>
      <c r="FW107" s="26"/>
      <c r="FX107" s="26"/>
      <c r="FY107" s="26"/>
      <c r="FZ107" s="26"/>
      <c r="GA107" s="26"/>
    </row>
    <row r="108" spans="1:185" ht="16" x14ac:dyDescent="0.2">
      <c r="A108">
        <v>107074</v>
      </c>
      <c r="B108" s="6" t="s">
        <v>615</v>
      </c>
      <c r="C108" s="6" t="s">
        <v>135</v>
      </c>
      <c r="D108" s="10" t="s">
        <v>616</v>
      </c>
      <c r="E108" s="52" t="s">
        <v>575</v>
      </c>
      <c r="F108" s="19" t="s">
        <v>579</v>
      </c>
      <c r="G108" s="19">
        <v>45870</v>
      </c>
      <c r="H108" s="6" t="s">
        <v>26</v>
      </c>
      <c r="I108" s="11" t="s">
        <v>48</v>
      </c>
      <c r="J108" s="27"/>
      <c r="K108" s="27"/>
      <c r="L108" s="27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  <c r="DP108" s="26"/>
      <c r="DQ108" s="26"/>
      <c r="DR108" s="26"/>
      <c r="DS108" s="26"/>
      <c r="DT108" s="26"/>
      <c r="DU108" s="26"/>
      <c r="DV108" s="26"/>
      <c r="DW108" s="26"/>
      <c r="DX108" s="26"/>
      <c r="DY108" s="26"/>
      <c r="DZ108" s="26"/>
      <c r="EA108" s="26"/>
      <c r="EB108" s="26"/>
      <c r="EC108" s="26"/>
      <c r="ED108" s="26"/>
      <c r="EE108" s="26"/>
      <c r="EF108" s="26"/>
      <c r="EG108" s="26"/>
      <c r="EH108" s="26"/>
      <c r="EI108" s="26"/>
      <c r="EJ108" s="26"/>
      <c r="EK108" s="26"/>
      <c r="EL108" s="26"/>
      <c r="EM108" s="26"/>
      <c r="EN108" s="26"/>
      <c r="EO108" s="26"/>
      <c r="EP108" s="26"/>
      <c r="EQ108" s="26"/>
      <c r="ER108" s="26"/>
      <c r="ES108" s="26"/>
      <c r="ET108" s="26"/>
      <c r="EU108" s="26"/>
      <c r="EV108" s="26"/>
      <c r="EW108" s="26"/>
      <c r="EX108" s="26"/>
      <c r="EY108" s="26"/>
      <c r="EZ108" s="26"/>
      <c r="FA108" s="26"/>
      <c r="FB108" s="26"/>
      <c r="FC108" s="26"/>
      <c r="FD108" s="26"/>
      <c r="FE108" s="26"/>
      <c r="FF108" s="26"/>
      <c r="FG108" s="26"/>
      <c r="FH108" s="26"/>
      <c r="FI108" s="26"/>
      <c r="FJ108" s="26"/>
      <c r="FK108" s="26"/>
      <c r="FL108" s="26"/>
      <c r="FM108" s="26"/>
      <c r="FN108" s="26"/>
      <c r="FO108" s="26"/>
      <c r="FP108" s="26"/>
      <c r="FQ108" s="26"/>
      <c r="FR108" s="26"/>
      <c r="FS108" s="26"/>
      <c r="FT108" s="26"/>
      <c r="FU108" s="26"/>
      <c r="FV108" s="26"/>
      <c r="FW108" s="26"/>
      <c r="FX108" s="26"/>
      <c r="FY108" s="26"/>
      <c r="FZ108" s="26"/>
      <c r="GA108" s="26"/>
    </row>
    <row r="109" spans="1:185" ht="32" x14ac:dyDescent="0.2">
      <c r="B109" s="6" t="s">
        <v>617</v>
      </c>
      <c r="C109" s="6" t="s">
        <v>535</v>
      </c>
      <c r="D109" s="10" t="s">
        <v>618</v>
      </c>
      <c r="E109" s="52"/>
      <c r="F109" s="20"/>
      <c r="G109" s="20"/>
      <c r="H109" s="6"/>
      <c r="I109" s="32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  <c r="DR109" s="26"/>
      <c r="DS109" s="26"/>
      <c r="DT109" s="26"/>
      <c r="DU109" s="26"/>
      <c r="DV109" s="26"/>
      <c r="DW109" s="26"/>
      <c r="DX109" s="26"/>
      <c r="DY109" s="26"/>
      <c r="DZ109" s="26"/>
      <c r="EA109" s="26"/>
      <c r="EB109" s="26"/>
      <c r="EC109" s="26"/>
      <c r="ED109" s="26"/>
      <c r="EE109" s="26"/>
      <c r="EF109" s="26"/>
      <c r="EG109" s="26"/>
      <c r="EH109" s="26"/>
      <c r="EI109" s="26"/>
      <c r="EJ109" s="26"/>
      <c r="EK109" s="26"/>
      <c r="EL109" s="26"/>
      <c r="EM109" s="26"/>
      <c r="EN109" s="26"/>
      <c r="EO109" s="26"/>
      <c r="EP109" s="26"/>
      <c r="EQ109" s="26"/>
      <c r="ER109" s="26"/>
      <c r="ES109" s="26"/>
      <c r="ET109" s="26"/>
      <c r="EU109" s="26"/>
      <c r="EV109" s="26"/>
      <c r="EW109" s="26"/>
      <c r="EX109" s="26"/>
      <c r="EY109" s="26"/>
      <c r="EZ109" s="26"/>
      <c r="FA109" s="26"/>
      <c r="FB109" s="26"/>
      <c r="FC109" s="26"/>
      <c r="FD109" s="26"/>
      <c r="FE109" s="26"/>
      <c r="FF109" s="26"/>
      <c r="FG109" s="26"/>
      <c r="FH109" s="26"/>
      <c r="FI109" s="26"/>
      <c r="FJ109" s="26"/>
      <c r="FK109" s="26"/>
      <c r="FL109" s="26"/>
      <c r="FM109" s="26"/>
      <c r="FN109" s="26"/>
      <c r="FO109" s="26"/>
      <c r="FP109" s="26"/>
      <c r="FQ109" s="26"/>
      <c r="FR109" s="26"/>
      <c r="FS109" s="26"/>
      <c r="FT109" s="26"/>
      <c r="FU109" s="26"/>
      <c r="FV109" s="26"/>
      <c r="FW109" s="26"/>
      <c r="FX109" s="26"/>
      <c r="FY109" s="26"/>
      <c r="FZ109" s="26"/>
      <c r="GA109" s="26"/>
    </row>
    <row r="110" spans="1:185" ht="16" x14ac:dyDescent="0.2">
      <c r="B110" s="11" t="s">
        <v>619</v>
      </c>
      <c r="C110" s="11"/>
      <c r="D110" s="10" t="s">
        <v>616</v>
      </c>
      <c r="E110" s="52"/>
      <c r="F110" s="19"/>
      <c r="G110" s="60"/>
      <c r="H110" s="6"/>
      <c r="I110" s="11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  <c r="DP110" s="26"/>
      <c r="DQ110" s="26"/>
      <c r="DR110" s="26"/>
      <c r="DS110" s="26"/>
      <c r="DT110" s="26"/>
      <c r="DU110" s="26"/>
      <c r="DV110" s="26"/>
      <c r="DW110" s="26"/>
      <c r="DX110" s="26"/>
      <c r="DY110" s="26"/>
      <c r="DZ110" s="26"/>
      <c r="EA110" s="26"/>
      <c r="EB110" s="26"/>
      <c r="EC110" s="26"/>
      <c r="ED110" s="26"/>
      <c r="EE110" s="26"/>
      <c r="EF110" s="26"/>
      <c r="EG110" s="26"/>
      <c r="EH110" s="26"/>
      <c r="EI110" s="26"/>
      <c r="EJ110" s="26"/>
      <c r="EK110" s="26"/>
      <c r="EL110" s="26"/>
      <c r="EM110" s="26"/>
      <c r="EN110" s="26"/>
      <c r="EO110" s="26"/>
      <c r="EP110" s="26"/>
      <c r="EQ110" s="26"/>
      <c r="ER110" s="26"/>
      <c r="ES110" s="26"/>
      <c r="ET110" s="26"/>
      <c r="EU110" s="26"/>
      <c r="EV110" s="26"/>
      <c r="EW110" s="26"/>
      <c r="EX110" s="26"/>
      <c r="EY110" s="26"/>
      <c r="EZ110" s="26"/>
      <c r="FA110" s="26"/>
      <c r="FB110" s="26"/>
      <c r="FC110" s="26"/>
      <c r="FD110" s="26"/>
      <c r="FE110" s="26"/>
      <c r="FF110" s="26"/>
      <c r="FG110" s="26"/>
      <c r="FH110" s="26"/>
      <c r="FI110" s="26"/>
      <c r="FJ110" s="26"/>
      <c r="FK110" s="26"/>
      <c r="FL110" s="26"/>
      <c r="FM110" s="26"/>
      <c r="FN110" s="26"/>
      <c r="FO110" s="26"/>
      <c r="FP110" s="26"/>
      <c r="FQ110" s="26"/>
      <c r="FR110" s="26"/>
      <c r="FS110" s="26"/>
      <c r="FT110" s="26"/>
      <c r="FU110" s="26"/>
      <c r="FV110" s="26"/>
      <c r="FW110" s="26"/>
      <c r="FX110" s="26"/>
      <c r="FY110" s="26"/>
      <c r="FZ110" s="26"/>
      <c r="GA110" s="26"/>
    </row>
    <row r="111" spans="1:185" ht="16" x14ac:dyDescent="0.2">
      <c r="A111">
        <v>107246</v>
      </c>
      <c r="B111" s="6" t="s">
        <v>620</v>
      </c>
      <c r="C111" s="6" t="s">
        <v>621</v>
      </c>
      <c r="D111" s="10" t="s">
        <v>597</v>
      </c>
      <c r="E111" s="52" t="s">
        <v>411</v>
      </c>
      <c r="F111" s="20" t="s">
        <v>546</v>
      </c>
      <c r="G111" s="20">
        <v>45762</v>
      </c>
      <c r="H111" s="6" t="s">
        <v>26</v>
      </c>
      <c r="I111" s="32" t="s">
        <v>48</v>
      </c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  <c r="DP111" s="26"/>
      <c r="DQ111" s="26"/>
      <c r="DR111" s="26"/>
      <c r="DS111" s="26"/>
      <c r="DT111" s="26"/>
      <c r="DU111" s="26"/>
      <c r="DV111" s="26"/>
      <c r="DW111" s="26"/>
      <c r="DX111" s="26"/>
      <c r="DY111" s="26"/>
      <c r="DZ111" s="26"/>
      <c r="EA111" s="26"/>
      <c r="EB111" s="26"/>
      <c r="EC111" s="26"/>
      <c r="ED111" s="26"/>
      <c r="EE111" s="26"/>
      <c r="EF111" s="26"/>
      <c r="EG111" s="26"/>
      <c r="EH111" s="26"/>
      <c r="EI111" s="26"/>
      <c r="EJ111" s="26"/>
      <c r="EK111" s="26"/>
      <c r="EL111" s="26"/>
      <c r="EM111" s="26"/>
      <c r="EN111" s="26"/>
      <c r="EO111" s="26"/>
      <c r="EP111" s="26"/>
      <c r="EQ111" s="26"/>
      <c r="ER111" s="26"/>
      <c r="ES111" s="26"/>
      <c r="ET111" s="26"/>
      <c r="EU111" s="26"/>
      <c r="EV111" s="26"/>
      <c r="EW111" s="26"/>
      <c r="EX111" s="26"/>
      <c r="EY111" s="26"/>
      <c r="EZ111" s="26"/>
      <c r="FA111" s="26"/>
      <c r="FB111" s="26"/>
      <c r="FC111" s="26"/>
      <c r="FD111" s="26"/>
      <c r="FE111" s="26"/>
      <c r="FF111" s="26"/>
      <c r="FG111" s="26"/>
      <c r="FH111" s="26"/>
      <c r="FI111" s="26"/>
      <c r="FJ111" s="26"/>
      <c r="FK111" s="26"/>
      <c r="FL111" s="26"/>
      <c r="FM111" s="26"/>
      <c r="FN111" s="26"/>
      <c r="FO111" s="26"/>
      <c r="FP111" s="26"/>
      <c r="FQ111" s="26"/>
      <c r="FR111" s="26"/>
      <c r="FS111" s="26"/>
      <c r="FT111" s="26"/>
      <c r="FU111" s="26"/>
      <c r="FV111" s="26"/>
      <c r="FW111" s="26"/>
      <c r="FX111" s="26"/>
      <c r="FY111" s="26"/>
      <c r="FZ111" s="26"/>
      <c r="GA111" s="26"/>
    </row>
    <row r="112" spans="1:185" ht="16" x14ac:dyDescent="0.2">
      <c r="A112">
        <v>107790</v>
      </c>
      <c r="B112" s="6" t="s">
        <v>622</v>
      </c>
      <c r="C112" s="6" t="s">
        <v>402</v>
      </c>
      <c r="D112" s="10" t="s">
        <v>597</v>
      </c>
      <c r="E112" s="52" t="s">
        <v>623</v>
      </c>
      <c r="F112" s="20">
        <v>45691</v>
      </c>
      <c r="G112" s="20">
        <v>45731</v>
      </c>
      <c r="H112" s="8" t="s">
        <v>26</v>
      </c>
      <c r="I112" s="32" t="s">
        <v>48</v>
      </c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  <c r="DR112" s="26"/>
      <c r="DS112" s="26"/>
      <c r="DT112" s="26"/>
      <c r="DU112" s="26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  <c r="EP112" s="26"/>
      <c r="EQ112" s="26"/>
      <c r="ER112" s="26"/>
      <c r="ES112" s="26"/>
      <c r="ET112" s="26"/>
      <c r="EU112" s="26"/>
      <c r="EV112" s="26"/>
      <c r="EW112" s="26"/>
      <c r="EX112" s="26"/>
      <c r="EY112" s="26"/>
      <c r="EZ112" s="26"/>
      <c r="FA112" s="26"/>
      <c r="FB112" s="26"/>
      <c r="FC112" s="26"/>
      <c r="FD112" s="26"/>
      <c r="FE112" s="26"/>
      <c r="FF112" s="26"/>
      <c r="FG112" s="26"/>
      <c r="FH112" s="26"/>
      <c r="FI112" s="26"/>
      <c r="FJ112" s="26"/>
      <c r="FK112" s="26"/>
      <c r="FL112" s="26"/>
      <c r="FM112" s="26"/>
      <c r="FN112" s="26"/>
      <c r="FO112" s="26"/>
      <c r="FP112" s="26"/>
      <c r="FQ112" s="26"/>
      <c r="FR112" s="26"/>
      <c r="FS112" s="26"/>
      <c r="FT112" s="26"/>
      <c r="FU112" s="26"/>
      <c r="FV112" s="26"/>
      <c r="FW112" s="26"/>
      <c r="FX112" s="26"/>
      <c r="FY112" s="26"/>
      <c r="FZ112" s="26"/>
      <c r="GA112" s="26"/>
    </row>
    <row r="113" spans="2:184" ht="16" x14ac:dyDescent="0.2">
      <c r="B113" s="6" t="s">
        <v>624</v>
      </c>
      <c r="C113" s="6" t="s">
        <v>135</v>
      </c>
      <c r="D113" s="10" t="s">
        <v>597</v>
      </c>
      <c r="E113" s="52"/>
      <c r="F113" s="19"/>
      <c r="G113" s="19"/>
      <c r="H113" s="6"/>
      <c r="I113" s="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  <c r="DP113" s="26"/>
      <c r="DQ113" s="26"/>
      <c r="DR113" s="26"/>
      <c r="DS113" s="26"/>
      <c r="DT113" s="26"/>
      <c r="DU113" s="26"/>
      <c r="DV113" s="26"/>
      <c r="DW113" s="26"/>
      <c r="DX113" s="26"/>
      <c r="DY113" s="26"/>
      <c r="DZ113" s="26"/>
      <c r="EA113" s="26"/>
      <c r="EB113" s="26"/>
      <c r="EC113" s="26"/>
      <c r="ED113" s="26"/>
      <c r="EE113" s="26"/>
      <c r="EF113" s="26"/>
      <c r="EG113" s="26"/>
      <c r="EH113" s="26"/>
      <c r="EI113" s="26"/>
      <c r="EJ113" s="26"/>
      <c r="EK113" s="26"/>
      <c r="EL113" s="26"/>
      <c r="EM113" s="26"/>
      <c r="EN113" s="26"/>
      <c r="EO113" s="26"/>
      <c r="EP113" s="26"/>
      <c r="EQ113" s="26"/>
      <c r="ER113" s="26"/>
      <c r="ES113" s="26"/>
      <c r="ET113" s="26"/>
      <c r="EU113" s="26"/>
      <c r="EV113" s="26"/>
      <c r="EW113" s="26"/>
      <c r="EX113" s="26"/>
      <c r="EY113" s="26"/>
      <c r="EZ113" s="26"/>
      <c r="FA113" s="26"/>
      <c r="FB113" s="26"/>
      <c r="FC113" s="26"/>
      <c r="FD113" s="26"/>
      <c r="FE113" s="26"/>
      <c r="FF113" s="26"/>
      <c r="FG113" s="26"/>
      <c r="FH113" s="26"/>
      <c r="FI113" s="26"/>
      <c r="FJ113" s="26"/>
      <c r="FK113" s="26"/>
      <c r="FL113" s="26"/>
      <c r="FM113" s="26"/>
      <c r="FN113" s="26"/>
      <c r="FO113" s="26"/>
      <c r="FP113" s="26"/>
      <c r="FQ113" s="26"/>
      <c r="FR113" s="26"/>
      <c r="FS113" s="26"/>
      <c r="FT113" s="26"/>
      <c r="FU113" s="26"/>
      <c r="FV113" s="26"/>
      <c r="FW113" s="26"/>
      <c r="FX113" s="26"/>
      <c r="FY113" s="26"/>
      <c r="FZ113" s="26"/>
      <c r="GA113" s="26"/>
    </row>
    <row r="114" spans="2:184" ht="16" x14ac:dyDescent="0.2">
      <c r="B114" s="6" t="s">
        <v>625</v>
      </c>
      <c r="C114" s="6" t="s">
        <v>278</v>
      </c>
      <c r="D114" s="10" t="s">
        <v>626</v>
      </c>
      <c r="E114" s="19"/>
      <c r="F114" s="19">
        <v>45689</v>
      </c>
      <c r="G114" s="6" t="s">
        <v>26</v>
      </c>
      <c r="H114" s="6" t="s">
        <v>443</v>
      </c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  <c r="DP114" s="26"/>
      <c r="DQ114" s="26"/>
      <c r="DR114" s="26"/>
      <c r="DS114" s="26"/>
      <c r="DT114" s="26"/>
      <c r="DU114" s="26"/>
      <c r="DV114" s="26"/>
      <c r="DW114" s="26"/>
      <c r="DX114" s="26"/>
      <c r="DY114" s="26"/>
      <c r="DZ114" s="26"/>
      <c r="EA114" s="26"/>
      <c r="EB114" s="26"/>
      <c r="EC114" s="26"/>
      <c r="ED114" s="26"/>
      <c r="EE114" s="26"/>
      <c r="EF114" s="26"/>
      <c r="EG114" s="26"/>
      <c r="EH114" s="26"/>
      <c r="EI114" s="26"/>
      <c r="EJ114" s="26"/>
      <c r="EK114" s="26"/>
      <c r="EL114" s="26"/>
      <c r="EM114" s="26"/>
      <c r="EN114" s="26"/>
      <c r="EO114" s="26"/>
      <c r="EP114" s="26"/>
      <c r="EQ114" s="26"/>
      <c r="ER114" s="26"/>
      <c r="ES114" s="26"/>
      <c r="ET114" s="26"/>
      <c r="EU114" s="26"/>
      <c r="EV114" s="26"/>
      <c r="EW114" s="26"/>
      <c r="EX114" s="26"/>
      <c r="EY114" s="26"/>
      <c r="EZ114" s="26"/>
      <c r="FA114" s="26"/>
      <c r="FB114" s="26"/>
      <c r="FC114" s="26"/>
      <c r="FD114" s="26"/>
      <c r="FE114" s="26"/>
      <c r="FF114" s="26"/>
      <c r="FG114" s="26"/>
      <c r="FH114" s="26"/>
      <c r="FI114" s="26"/>
      <c r="FJ114" s="26"/>
      <c r="FK114" s="26"/>
      <c r="FL114" s="26"/>
      <c r="FM114" s="26"/>
      <c r="FN114" s="26"/>
      <c r="FO114" s="26"/>
      <c r="FP114" s="26"/>
      <c r="FQ114" s="26"/>
      <c r="FR114" s="26"/>
      <c r="FS114" s="26"/>
      <c r="FT114" s="26"/>
      <c r="FU114" s="26"/>
      <c r="FV114" s="26"/>
      <c r="FW114" s="26"/>
      <c r="FX114" s="26"/>
      <c r="FY114" s="26"/>
      <c r="FZ114" s="26"/>
    </row>
    <row r="115" spans="2:184" ht="32" x14ac:dyDescent="0.2">
      <c r="B115" s="6" t="s">
        <v>627</v>
      </c>
      <c r="C115" s="6" t="s">
        <v>15</v>
      </c>
      <c r="D115" s="10" t="s">
        <v>628</v>
      </c>
      <c r="E115" s="19" t="s">
        <v>123</v>
      </c>
      <c r="F115" s="19"/>
      <c r="G115" s="19" t="s">
        <v>26</v>
      </c>
      <c r="H115" s="19" t="s">
        <v>48</v>
      </c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  <c r="DJ115" s="26"/>
      <c r="DK115" s="26"/>
      <c r="DL115" s="26"/>
      <c r="DM115" s="26"/>
      <c r="DN115" s="26"/>
      <c r="DO115" s="26"/>
      <c r="DP115" s="26"/>
      <c r="DQ115" s="26"/>
      <c r="DR115" s="26"/>
      <c r="DS115" s="26"/>
      <c r="DT115" s="26"/>
      <c r="DU115" s="26"/>
      <c r="DV115" s="26"/>
      <c r="DW115" s="26"/>
      <c r="DX115" s="26"/>
      <c r="DY115" s="26"/>
      <c r="DZ115" s="26"/>
      <c r="EA115" s="26"/>
      <c r="EB115" s="26"/>
      <c r="EC115" s="26"/>
      <c r="ED115" s="26"/>
      <c r="EE115" s="26"/>
      <c r="EF115" s="26"/>
      <c r="EG115" s="26"/>
      <c r="EH115" s="26"/>
      <c r="EI115" s="26"/>
      <c r="EJ115" s="26"/>
      <c r="EK115" s="26"/>
      <c r="EL115" s="26"/>
      <c r="EM115" s="26"/>
      <c r="EN115" s="26"/>
      <c r="EO115" s="26"/>
      <c r="EP115" s="26"/>
      <c r="EQ115" s="26"/>
      <c r="ER115" s="26"/>
      <c r="ES115" s="26"/>
      <c r="ET115" s="26"/>
      <c r="EU115" s="26"/>
      <c r="EV115" s="26"/>
      <c r="EW115" s="26"/>
      <c r="EX115" s="26"/>
      <c r="EY115" s="26"/>
      <c r="EZ115" s="26"/>
      <c r="FA115" s="26"/>
      <c r="FB115" s="26"/>
      <c r="FC115" s="26"/>
      <c r="FD115" s="26"/>
      <c r="FE115" s="26"/>
      <c r="FF115" s="26"/>
      <c r="FG115" s="26"/>
      <c r="FH115" s="26"/>
      <c r="FI115" s="26"/>
      <c r="FJ115" s="26"/>
      <c r="FK115" s="26"/>
      <c r="FL115" s="26"/>
      <c r="FM115" s="26"/>
      <c r="FN115" s="26"/>
      <c r="FO115" s="26"/>
      <c r="FP115" s="26"/>
      <c r="FQ115" s="26"/>
      <c r="FR115" s="26"/>
      <c r="FS115" s="26"/>
      <c r="FT115" s="26"/>
      <c r="FU115" s="26"/>
      <c r="FV115" s="26"/>
      <c r="FW115" s="26"/>
      <c r="FX115" s="26"/>
      <c r="FY115" s="26"/>
      <c r="FZ115" s="26"/>
    </row>
    <row r="116" spans="2:184" ht="16" x14ac:dyDescent="0.2">
      <c r="B116" s="6" t="s">
        <v>629</v>
      </c>
      <c r="C116" s="6" t="s">
        <v>15</v>
      </c>
      <c r="D116" s="10" t="s">
        <v>630</v>
      </c>
      <c r="E116" s="19" t="s">
        <v>631</v>
      </c>
      <c r="F116" s="19"/>
      <c r="G116" s="19"/>
      <c r="H116" s="11" t="s">
        <v>27</v>
      </c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  <c r="DR116" s="26"/>
      <c r="DS116" s="26"/>
      <c r="DT116" s="26"/>
      <c r="DU116" s="26"/>
      <c r="DV116" s="26"/>
      <c r="DW116" s="26"/>
      <c r="DX116" s="26"/>
      <c r="DY116" s="26"/>
      <c r="DZ116" s="26"/>
      <c r="EA116" s="26"/>
      <c r="EB116" s="26"/>
      <c r="EC116" s="26"/>
      <c r="ED116" s="26"/>
      <c r="EE116" s="26"/>
      <c r="EF116" s="26"/>
      <c r="EG116" s="26"/>
      <c r="EH116" s="26"/>
      <c r="EI116" s="26"/>
      <c r="EJ116" s="26"/>
      <c r="EK116" s="26"/>
      <c r="EL116" s="26"/>
      <c r="EM116" s="26"/>
      <c r="EN116" s="26"/>
      <c r="EO116" s="26"/>
      <c r="EP116" s="26"/>
      <c r="EQ116" s="26"/>
      <c r="ER116" s="26"/>
      <c r="ES116" s="26"/>
      <c r="ET116" s="26"/>
      <c r="EU116" s="26"/>
      <c r="EV116" s="26"/>
      <c r="EW116" s="26"/>
      <c r="EX116" s="26"/>
      <c r="EY116" s="26"/>
      <c r="EZ116" s="26"/>
      <c r="FA116" s="26"/>
      <c r="FB116" s="26"/>
      <c r="FC116" s="26"/>
      <c r="FD116" s="26"/>
      <c r="FE116" s="26"/>
      <c r="FF116" s="26"/>
      <c r="FG116" s="26"/>
      <c r="FH116" s="26"/>
      <c r="FI116" s="26"/>
      <c r="FJ116" s="26"/>
      <c r="FK116" s="26"/>
      <c r="FL116" s="26"/>
      <c r="FM116" s="26"/>
      <c r="FN116" s="26"/>
      <c r="FO116" s="26"/>
      <c r="FP116" s="26"/>
      <c r="FQ116" s="26"/>
      <c r="FR116" s="26"/>
      <c r="FS116" s="26"/>
      <c r="FT116" s="26"/>
      <c r="FU116" s="26"/>
      <c r="FV116" s="26"/>
      <c r="FW116" s="26"/>
      <c r="FX116" s="26"/>
      <c r="FY116" s="26"/>
      <c r="FZ116" s="26"/>
    </row>
    <row r="117" spans="2:184" x14ac:dyDescent="0.2"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  <c r="DJ117" s="26"/>
      <c r="DK117" s="26"/>
      <c r="DL117" s="26"/>
      <c r="DM117" s="26"/>
      <c r="DN117" s="26"/>
      <c r="DO117" s="26"/>
      <c r="DP117" s="26"/>
      <c r="DQ117" s="26"/>
      <c r="DR117" s="26"/>
      <c r="DS117" s="26"/>
      <c r="DT117" s="26"/>
      <c r="DU117" s="26"/>
      <c r="DV117" s="26"/>
      <c r="DW117" s="26"/>
      <c r="DX117" s="26"/>
      <c r="DY117" s="26"/>
      <c r="DZ117" s="26"/>
      <c r="EA117" s="26"/>
      <c r="EB117" s="26"/>
      <c r="EC117" s="26"/>
      <c r="ED117" s="26"/>
      <c r="EE117" s="26"/>
      <c r="EF117" s="26"/>
      <c r="EG117" s="26"/>
      <c r="EH117" s="26"/>
      <c r="EI117" s="26"/>
      <c r="EJ117" s="26"/>
      <c r="EK117" s="26"/>
      <c r="EL117" s="26"/>
      <c r="EM117" s="26"/>
      <c r="EN117" s="26"/>
      <c r="EO117" s="26"/>
      <c r="EP117" s="26"/>
      <c r="EQ117" s="26"/>
      <c r="ER117" s="26"/>
      <c r="ES117" s="26"/>
      <c r="ET117" s="26"/>
      <c r="EU117" s="26"/>
      <c r="EV117" s="26"/>
      <c r="EW117" s="26"/>
      <c r="EX117" s="26"/>
      <c r="EY117" s="26"/>
      <c r="EZ117" s="26"/>
      <c r="FA117" s="26"/>
      <c r="FB117" s="26"/>
      <c r="FC117" s="26"/>
      <c r="FD117" s="26"/>
      <c r="FE117" s="26"/>
      <c r="FF117" s="26"/>
      <c r="FG117" s="26"/>
      <c r="FH117" s="26"/>
      <c r="FI117" s="26"/>
      <c r="FJ117" s="26"/>
      <c r="FK117" s="26"/>
      <c r="FL117" s="26"/>
      <c r="FM117" s="26"/>
      <c r="FN117" s="26"/>
      <c r="FO117" s="26"/>
      <c r="FP117" s="26"/>
      <c r="FQ117" s="26"/>
      <c r="FR117" s="26"/>
      <c r="FS117" s="26"/>
      <c r="FT117" s="26"/>
      <c r="FU117" s="26"/>
      <c r="FV117" s="26"/>
      <c r="FW117" s="26"/>
      <c r="FX117" s="26"/>
      <c r="FY117" s="26"/>
      <c r="FZ117" s="26"/>
      <c r="GA117" s="26"/>
      <c r="GB117" s="26"/>
    </row>
    <row r="131" spans="2:10" x14ac:dyDescent="0.2">
      <c r="B131" s="209" t="s">
        <v>632</v>
      </c>
      <c r="C131" s="210"/>
      <c r="D131" s="210"/>
      <c r="E131" s="210"/>
      <c r="F131" s="210"/>
      <c r="G131" s="210"/>
      <c r="H131" s="210"/>
      <c r="I131" s="210"/>
      <c r="J131" s="210"/>
    </row>
    <row r="132" spans="2:10" x14ac:dyDescent="0.2">
      <c r="B132" s="6" t="s">
        <v>633</v>
      </c>
      <c r="C132" s="6" t="s">
        <v>634</v>
      </c>
      <c r="D132" s="6"/>
      <c r="E132" s="6"/>
      <c r="F132" s="19"/>
      <c r="G132" s="19"/>
      <c r="H132" s="19"/>
      <c r="I132" s="6" t="s">
        <v>406</v>
      </c>
      <c r="J132" s="6" t="s">
        <v>407</v>
      </c>
    </row>
    <row r="133" spans="2:10" x14ac:dyDescent="0.2">
      <c r="B133" s="6" t="s">
        <v>635</v>
      </c>
      <c r="C133" s="6" t="s">
        <v>636</v>
      </c>
      <c r="D133" s="6"/>
      <c r="E133" s="6"/>
      <c r="F133" s="19"/>
      <c r="G133" s="19"/>
      <c r="H133" s="19">
        <v>45080</v>
      </c>
      <c r="I133" s="6" t="s">
        <v>637</v>
      </c>
      <c r="J133" s="6" t="s">
        <v>407</v>
      </c>
    </row>
    <row r="134" spans="2:10" x14ac:dyDescent="0.2">
      <c r="B134" s="6" t="s">
        <v>638</v>
      </c>
      <c r="C134" s="6" t="s">
        <v>639</v>
      </c>
      <c r="D134" s="6"/>
      <c r="E134" s="6"/>
      <c r="F134" s="19"/>
      <c r="G134" s="19"/>
      <c r="H134" s="19">
        <v>45078</v>
      </c>
      <c r="I134" s="6" t="s">
        <v>637</v>
      </c>
      <c r="J134" s="6" t="s">
        <v>407</v>
      </c>
    </row>
    <row r="135" spans="2:10" x14ac:dyDescent="0.2">
      <c r="B135" s="6" t="s">
        <v>633</v>
      </c>
      <c r="C135" s="6" t="s">
        <v>640</v>
      </c>
      <c r="D135" s="6"/>
      <c r="E135" s="6"/>
      <c r="F135" s="19"/>
      <c r="G135" s="19"/>
      <c r="H135" s="19">
        <v>45052</v>
      </c>
      <c r="I135" s="6" t="s">
        <v>637</v>
      </c>
      <c r="J135" s="6" t="s">
        <v>407</v>
      </c>
    </row>
    <row r="136" spans="2:10" x14ac:dyDescent="0.2">
      <c r="B136" s="6" t="s">
        <v>641</v>
      </c>
      <c r="C136" s="6" t="s">
        <v>642</v>
      </c>
      <c r="D136" s="6"/>
      <c r="E136" s="6"/>
      <c r="F136" s="19"/>
      <c r="G136" s="19"/>
      <c r="H136" s="19"/>
      <c r="I136" s="6" t="s">
        <v>637</v>
      </c>
      <c r="J136" s="6" t="s">
        <v>407</v>
      </c>
    </row>
    <row r="137" spans="2:10" x14ac:dyDescent="0.2">
      <c r="B137" s="6" t="s">
        <v>643</v>
      </c>
      <c r="C137" s="6" t="s">
        <v>644</v>
      </c>
      <c r="D137" s="6"/>
      <c r="E137" s="6"/>
      <c r="F137" s="19"/>
      <c r="G137" s="19"/>
      <c r="H137" s="19"/>
      <c r="I137" s="6" t="s">
        <v>637</v>
      </c>
      <c r="J137" s="6" t="s">
        <v>407</v>
      </c>
    </row>
    <row r="138" spans="2:10" x14ac:dyDescent="0.2">
      <c r="B138" s="6" t="s">
        <v>645</v>
      </c>
      <c r="C138" s="6" t="s">
        <v>646</v>
      </c>
      <c r="D138" s="6"/>
      <c r="E138" s="6"/>
      <c r="F138" s="19"/>
      <c r="G138" s="19"/>
      <c r="H138" s="19">
        <v>45045</v>
      </c>
      <c r="I138" s="6" t="s">
        <v>637</v>
      </c>
      <c r="J138" s="6" t="s">
        <v>407</v>
      </c>
    </row>
    <row r="139" spans="2:10" x14ac:dyDescent="0.2">
      <c r="B139" s="207" t="s">
        <v>647</v>
      </c>
      <c r="C139" s="208"/>
      <c r="D139" s="208"/>
      <c r="E139" s="208"/>
      <c r="F139" s="208"/>
      <c r="G139" s="208"/>
      <c r="H139" s="208"/>
      <c r="I139" s="208"/>
      <c r="J139" s="208"/>
    </row>
    <row r="140" spans="2:10" x14ac:dyDescent="0.2">
      <c r="F140" s="21"/>
      <c r="G140" s="21"/>
      <c r="H140" s="21"/>
      <c r="I140" s="26"/>
      <c r="J140" s="26"/>
    </row>
    <row r="141" spans="2:10" x14ac:dyDescent="0.2">
      <c r="B141" s="6" t="s">
        <v>648</v>
      </c>
      <c r="C141" s="6" t="s">
        <v>649</v>
      </c>
      <c r="D141" s="6"/>
      <c r="E141" s="6"/>
      <c r="F141" s="20"/>
      <c r="G141" s="20"/>
      <c r="H141" s="20"/>
      <c r="I141" s="6"/>
      <c r="J141" s="6" t="s">
        <v>385</v>
      </c>
    </row>
    <row r="142" spans="2:10" x14ac:dyDescent="0.2">
      <c r="B142" s="6" t="s">
        <v>650</v>
      </c>
      <c r="C142" s="6" t="s">
        <v>651</v>
      </c>
      <c r="D142" s="6"/>
      <c r="E142" s="6"/>
      <c r="F142" s="19"/>
      <c r="G142" s="19"/>
      <c r="H142" s="19"/>
      <c r="I142" s="6"/>
      <c r="J142" s="6" t="s">
        <v>385</v>
      </c>
    </row>
  </sheetData>
  <mergeCells count="2">
    <mergeCell ref="B139:J139"/>
    <mergeCell ref="B131:J1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7E28B-ADF1-7546-9F4E-C03B109F457E}">
  <dimension ref="B4:J78"/>
  <sheetViews>
    <sheetView zoomScale="73" workbookViewId="0">
      <selection activeCell="G37" sqref="G37"/>
    </sheetView>
  </sheetViews>
  <sheetFormatPr baseColWidth="10" defaultColWidth="10.83203125" defaultRowHeight="15" x14ac:dyDescent="0.2"/>
  <cols>
    <col min="2" max="2" width="16" bestFit="1" customWidth="1"/>
    <col min="3" max="3" width="5.83203125" bestFit="1" customWidth="1"/>
    <col min="4" max="4" width="34" bestFit="1" customWidth="1"/>
    <col min="5" max="5" width="74" bestFit="1" customWidth="1"/>
    <col min="6" max="6" width="10.33203125" bestFit="1" customWidth="1"/>
    <col min="8" max="8" width="17.83203125" bestFit="1" customWidth="1"/>
    <col min="9" max="9" width="21.83203125" bestFit="1" customWidth="1"/>
    <col min="10" max="10" width="22.33203125" bestFit="1" customWidth="1"/>
  </cols>
  <sheetData>
    <row r="4" spans="2:10" ht="16" x14ac:dyDescent="0.2">
      <c r="B4" s="65" t="s">
        <v>652</v>
      </c>
      <c r="C4" s="66"/>
      <c r="D4" s="65" t="s">
        <v>653</v>
      </c>
      <c r="E4" s="65" t="s">
        <v>654</v>
      </c>
      <c r="F4" s="65" t="s">
        <v>655</v>
      </c>
      <c r="G4" s="65" t="s">
        <v>656</v>
      </c>
      <c r="H4" s="65" t="s">
        <v>657</v>
      </c>
      <c r="I4" s="65" t="s">
        <v>658</v>
      </c>
      <c r="J4" s="65" t="s">
        <v>659</v>
      </c>
    </row>
    <row r="5" spans="2:10" ht="16" x14ac:dyDescent="0.2">
      <c r="B5" s="65" t="s">
        <v>660</v>
      </c>
      <c r="C5" s="66"/>
      <c r="D5" s="65" t="s">
        <v>661</v>
      </c>
      <c r="E5" s="65" t="s">
        <v>662</v>
      </c>
      <c r="F5" s="67">
        <v>46113</v>
      </c>
      <c r="G5" s="67">
        <v>46113</v>
      </c>
      <c r="H5" s="66"/>
      <c r="I5" s="65" t="s">
        <v>663</v>
      </c>
      <c r="J5" s="67">
        <v>46388</v>
      </c>
    </row>
    <row r="6" spans="2:10" ht="16" x14ac:dyDescent="0.2">
      <c r="B6" s="66"/>
      <c r="C6" s="66"/>
      <c r="D6" s="65" t="s">
        <v>664</v>
      </c>
      <c r="E6" s="65" t="s">
        <v>665</v>
      </c>
      <c r="F6" s="67">
        <v>46204</v>
      </c>
      <c r="G6" s="67">
        <v>46204</v>
      </c>
      <c r="H6" s="66"/>
      <c r="I6" s="65" t="s">
        <v>663</v>
      </c>
      <c r="J6" s="67">
        <v>46874</v>
      </c>
    </row>
    <row r="7" spans="2:10" ht="16" x14ac:dyDescent="0.2">
      <c r="B7" s="66"/>
      <c r="C7" s="66"/>
      <c r="D7" s="65" t="s">
        <v>666</v>
      </c>
      <c r="E7" s="65" t="s">
        <v>667</v>
      </c>
      <c r="F7" s="67">
        <v>46113</v>
      </c>
      <c r="G7" s="67">
        <v>46174</v>
      </c>
      <c r="H7" s="66"/>
      <c r="I7" s="65" t="s">
        <v>663</v>
      </c>
      <c r="J7" s="67">
        <v>46266</v>
      </c>
    </row>
    <row r="8" spans="2:10" ht="16" x14ac:dyDescent="0.2">
      <c r="B8" s="66"/>
      <c r="C8" s="66"/>
      <c r="D8" s="65" t="s">
        <v>668</v>
      </c>
      <c r="E8" s="65" t="s">
        <v>669</v>
      </c>
      <c r="F8" s="67">
        <v>46082</v>
      </c>
      <c r="G8" s="67">
        <v>46204</v>
      </c>
      <c r="H8" s="66"/>
      <c r="I8" s="65" t="s">
        <v>663</v>
      </c>
      <c r="J8" s="67">
        <v>46266</v>
      </c>
    </row>
    <row r="9" spans="2:10" ht="16" x14ac:dyDescent="0.2">
      <c r="B9" s="65" t="s">
        <v>670</v>
      </c>
      <c r="C9" s="65" t="s">
        <v>671</v>
      </c>
      <c r="D9" s="66"/>
      <c r="E9" s="66"/>
      <c r="F9" s="66"/>
      <c r="G9" s="66"/>
      <c r="H9" s="66"/>
      <c r="I9" s="66"/>
      <c r="J9" s="66"/>
    </row>
    <row r="10" spans="2:10" ht="16" x14ac:dyDescent="0.2">
      <c r="B10" s="66"/>
      <c r="C10" s="65" t="s">
        <v>672</v>
      </c>
      <c r="D10" s="65">
        <v>4</v>
      </c>
      <c r="E10" s="66"/>
      <c r="F10" s="66"/>
      <c r="G10" s="66"/>
      <c r="H10" s="66"/>
      <c r="I10" s="66"/>
      <c r="J10" s="66"/>
    </row>
    <row r="11" spans="2:10" ht="16" x14ac:dyDescent="0.2">
      <c r="B11" s="65" t="s">
        <v>673</v>
      </c>
      <c r="C11" s="66"/>
      <c r="D11" s="65" t="s">
        <v>674</v>
      </c>
      <c r="E11" s="65" t="s">
        <v>675</v>
      </c>
      <c r="F11" s="67">
        <v>46054</v>
      </c>
      <c r="G11" s="67">
        <v>46082</v>
      </c>
      <c r="H11" s="66"/>
      <c r="I11" s="65" t="s">
        <v>663</v>
      </c>
      <c r="J11" s="67">
        <v>46235</v>
      </c>
    </row>
    <row r="12" spans="2:10" ht="16" x14ac:dyDescent="0.2">
      <c r="B12" s="66"/>
      <c r="C12" s="66"/>
      <c r="D12" s="65" t="s">
        <v>674</v>
      </c>
      <c r="E12" s="65" t="s">
        <v>676</v>
      </c>
      <c r="F12" s="67">
        <v>46054</v>
      </c>
      <c r="G12" s="67">
        <v>46082</v>
      </c>
      <c r="H12" s="66"/>
      <c r="I12" s="65" t="s">
        <v>663</v>
      </c>
      <c r="J12" s="67">
        <v>46235</v>
      </c>
    </row>
    <row r="13" spans="2:10" ht="16" x14ac:dyDescent="0.2">
      <c r="B13" s="66"/>
      <c r="C13" s="66"/>
      <c r="D13" s="65" t="s">
        <v>664</v>
      </c>
      <c r="E13" s="65" t="s">
        <v>677</v>
      </c>
      <c r="F13" s="67">
        <v>46174</v>
      </c>
      <c r="G13" s="67">
        <v>46235</v>
      </c>
      <c r="H13" s="66"/>
      <c r="I13" s="65" t="s">
        <v>663</v>
      </c>
      <c r="J13" s="67">
        <v>46387</v>
      </c>
    </row>
    <row r="14" spans="2:10" ht="16" x14ac:dyDescent="0.2">
      <c r="B14" s="66"/>
      <c r="C14" s="66"/>
      <c r="D14" s="65" t="s">
        <v>678</v>
      </c>
      <c r="E14" s="65" t="s">
        <v>679</v>
      </c>
      <c r="F14" s="67">
        <v>46143</v>
      </c>
      <c r="G14" s="67">
        <v>46174</v>
      </c>
      <c r="H14" s="66"/>
      <c r="I14" s="65" t="s">
        <v>663</v>
      </c>
      <c r="J14" s="67">
        <v>46295</v>
      </c>
    </row>
    <row r="15" spans="2:10" ht="16" x14ac:dyDescent="0.2">
      <c r="B15" s="66"/>
      <c r="C15" s="66"/>
      <c r="D15" s="65" t="s">
        <v>680</v>
      </c>
      <c r="E15" s="65" t="s">
        <v>681</v>
      </c>
      <c r="F15" s="67">
        <v>46295</v>
      </c>
      <c r="G15" s="67">
        <v>46327</v>
      </c>
      <c r="H15" s="66"/>
      <c r="I15" s="65" t="s">
        <v>663</v>
      </c>
      <c r="J15" s="67">
        <v>46419</v>
      </c>
    </row>
    <row r="16" spans="2:10" ht="16" x14ac:dyDescent="0.2">
      <c r="B16" s="66"/>
      <c r="C16" s="66"/>
      <c r="D16" s="65" t="s">
        <v>682</v>
      </c>
      <c r="E16" s="65" t="s">
        <v>683</v>
      </c>
      <c r="F16" s="67">
        <v>46082</v>
      </c>
      <c r="G16" s="67">
        <v>46143</v>
      </c>
      <c r="H16" s="66"/>
      <c r="I16" s="65" t="s">
        <v>663</v>
      </c>
      <c r="J16" s="67">
        <v>46266</v>
      </c>
    </row>
    <row r="17" spans="2:10" ht="16" x14ac:dyDescent="0.2">
      <c r="B17" s="66"/>
      <c r="C17" s="66"/>
      <c r="D17" s="65" t="s">
        <v>682</v>
      </c>
      <c r="E17" s="65" t="s">
        <v>684</v>
      </c>
      <c r="F17" s="67">
        <v>46082</v>
      </c>
      <c r="G17" s="66"/>
      <c r="H17" s="66"/>
      <c r="I17" s="65" t="s">
        <v>663</v>
      </c>
      <c r="J17" s="67">
        <v>46341</v>
      </c>
    </row>
    <row r="18" spans="2:10" ht="16" x14ac:dyDescent="0.2">
      <c r="B18" s="66"/>
      <c r="C18" s="66"/>
      <c r="D18" s="65" t="s">
        <v>685</v>
      </c>
      <c r="E18" s="65" t="s">
        <v>686</v>
      </c>
      <c r="F18" s="67">
        <v>46204</v>
      </c>
      <c r="G18" s="67">
        <v>46235</v>
      </c>
      <c r="H18" s="66"/>
      <c r="I18" s="65" t="s">
        <v>663</v>
      </c>
      <c r="J18" s="67">
        <v>46387</v>
      </c>
    </row>
    <row r="19" spans="2:10" ht="16" x14ac:dyDescent="0.2">
      <c r="B19" s="66"/>
      <c r="C19" s="66"/>
      <c r="D19" s="65" t="s">
        <v>687</v>
      </c>
      <c r="E19" s="65" t="s">
        <v>688</v>
      </c>
      <c r="F19" s="67">
        <v>46028</v>
      </c>
      <c r="G19" s="66"/>
      <c r="H19" s="66"/>
      <c r="I19" s="65" t="s">
        <v>689</v>
      </c>
      <c r="J19" s="67">
        <v>46249</v>
      </c>
    </row>
    <row r="20" spans="2:10" ht="16" x14ac:dyDescent="0.2">
      <c r="B20" s="66"/>
      <c r="C20" s="66"/>
      <c r="D20" s="65" t="s">
        <v>690</v>
      </c>
      <c r="E20" s="65" t="s">
        <v>691</v>
      </c>
      <c r="F20" s="67">
        <v>46052</v>
      </c>
      <c r="G20" s="67">
        <v>46143</v>
      </c>
      <c r="H20" s="67">
        <v>46249</v>
      </c>
      <c r="I20" s="65" t="s">
        <v>689</v>
      </c>
      <c r="J20" s="67">
        <v>46244</v>
      </c>
    </row>
    <row r="21" spans="2:10" ht="16" x14ac:dyDescent="0.2">
      <c r="B21" s="66"/>
      <c r="C21" s="66"/>
      <c r="D21" s="65" t="s">
        <v>333</v>
      </c>
      <c r="E21" s="65" t="s">
        <v>692</v>
      </c>
      <c r="F21" s="67">
        <v>46082</v>
      </c>
      <c r="G21" s="67">
        <v>46143</v>
      </c>
      <c r="H21" s="67">
        <v>46249</v>
      </c>
      <c r="I21" s="65" t="s">
        <v>689</v>
      </c>
      <c r="J21" s="67">
        <v>46237</v>
      </c>
    </row>
    <row r="22" spans="2:10" ht="16" x14ac:dyDescent="0.2">
      <c r="B22" s="66"/>
      <c r="C22" s="66"/>
      <c r="D22" s="65" t="s">
        <v>693</v>
      </c>
      <c r="E22" s="65" t="s">
        <v>694</v>
      </c>
      <c r="F22" s="67">
        <v>46113</v>
      </c>
      <c r="G22" s="66"/>
      <c r="H22" s="66"/>
      <c r="I22" s="65" t="s">
        <v>689</v>
      </c>
      <c r="J22" s="67">
        <v>46296</v>
      </c>
    </row>
    <row r="23" spans="2:10" ht="16" x14ac:dyDescent="0.2">
      <c r="B23" s="66"/>
      <c r="C23" s="66"/>
      <c r="D23" s="65" t="s">
        <v>693</v>
      </c>
      <c r="E23" s="65" t="s">
        <v>695</v>
      </c>
      <c r="F23" s="67">
        <v>46052</v>
      </c>
      <c r="G23" s="67">
        <v>46143</v>
      </c>
      <c r="H23" s="67">
        <v>46235</v>
      </c>
      <c r="I23" s="65" t="s">
        <v>689</v>
      </c>
      <c r="J23" s="67">
        <v>46237</v>
      </c>
    </row>
    <row r="24" spans="2:10" ht="16" x14ac:dyDescent="0.2">
      <c r="B24" s="66"/>
      <c r="C24" s="66"/>
      <c r="D24" s="65" t="s">
        <v>75</v>
      </c>
      <c r="E24" s="65" t="s">
        <v>696</v>
      </c>
      <c r="F24" s="67">
        <v>46092</v>
      </c>
      <c r="G24" s="66"/>
      <c r="H24" s="66"/>
      <c r="I24" s="65" t="s">
        <v>663</v>
      </c>
      <c r="J24" s="67">
        <v>46235</v>
      </c>
    </row>
    <row r="25" spans="2:10" ht="16" x14ac:dyDescent="0.2">
      <c r="B25" s="65" t="s">
        <v>670</v>
      </c>
      <c r="C25" s="65" t="s">
        <v>671</v>
      </c>
      <c r="D25" s="66"/>
      <c r="E25" s="66"/>
      <c r="F25" s="66"/>
      <c r="G25" s="67">
        <v>46082</v>
      </c>
      <c r="H25" s="66"/>
      <c r="I25" s="66"/>
      <c r="J25" s="66"/>
    </row>
    <row r="26" spans="2:10" ht="16" x14ac:dyDescent="0.2">
      <c r="B26" s="66"/>
      <c r="C26" s="65" t="s">
        <v>672</v>
      </c>
      <c r="D26" s="65">
        <v>14</v>
      </c>
      <c r="E26" s="66"/>
      <c r="F26" s="66"/>
      <c r="G26" s="66"/>
      <c r="H26" s="66"/>
      <c r="I26" s="66"/>
      <c r="J26" s="66"/>
    </row>
    <row r="27" spans="2:10" ht="16" x14ac:dyDescent="0.2">
      <c r="B27" s="65" t="s">
        <v>697</v>
      </c>
      <c r="C27" s="66"/>
      <c r="F27" s="67">
        <v>46210</v>
      </c>
      <c r="G27" s="67">
        <v>46082</v>
      </c>
      <c r="H27" s="66"/>
      <c r="I27" s="65" t="s">
        <v>663</v>
      </c>
      <c r="J27" s="67">
        <v>46266</v>
      </c>
    </row>
    <row r="28" spans="2:10" ht="16" x14ac:dyDescent="0.2">
      <c r="B28" s="66"/>
      <c r="C28" s="66"/>
      <c r="F28" s="67">
        <v>46113</v>
      </c>
      <c r="G28" s="67">
        <v>46174</v>
      </c>
      <c r="H28" s="67">
        <v>46249</v>
      </c>
      <c r="I28" s="65" t="s">
        <v>689</v>
      </c>
      <c r="J28" s="67">
        <v>46266</v>
      </c>
    </row>
    <row r="29" spans="2:10" ht="16" x14ac:dyDescent="0.2">
      <c r="B29" s="66"/>
      <c r="C29" s="66"/>
      <c r="F29" s="67">
        <v>46143</v>
      </c>
      <c r="G29" s="67">
        <v>46296</v>
      </c>
      <c r="H29" s="66"/>
      <c r="I29" s="65" t="s">
        <v>663</v>
      </c>
      <c r="J29" s="67">
        <v>46388</v>
      </c>
    </row>
    <row r="30" spans="2:10" ht="16" x14ac:dyDescent="0.2">
      <c r="B30" s="66"/>
      <c r="C30" s="66"/>
      <c r="F30" s="67">
        <v>46113</v>
      </c>
      <c r="G30" s="67">
        <v>46204</v>
      </c>
      <c r="H30" s="67">
        <v>46053</v>
      </c>
      <c r="I30" s="65" t="s">
        <v>663</v>
      </c>
      <c r="J30" s="67">
        <v>46387</v>
      </c>
    </row>
    <row r="31" spans="2:10" ht="16" x14ac:dyDescent="0.2">
      <c r="B31" s="66"/>
      <c r="C31" s="66"/>
      <c r="F31" s="67">
        <v>46087</v>
      </c>
      <c r="G31" s="67">
        <v>46113</v>
      </c>
      <c r="H31" s="67">
        <v>46280</v>
      </c>
      <c r="I31" s="65" t="s">
        <v>663</v>
      </c>
      <c r="J31" s="67">
        <v>46264</v>
      </c>
    </row>
    <row r="32" spans="2:10" ht="16" x14ac:dyDescent="0.2">
      <c r="B32" s="66"/>
      <c r="C32" s="66"/>
      <c r="F32" s="67">
        <v>46082</v>
      </c>
      <c r="G32" s="67">
        <v>46113</v>
      </c>
      <c r="H32" s="66"/>
      <c r="I32" s="65" t="s">
        <v>663</v>
      </c>
      <c r="J32" s="67">
        <v>46266</v>
      </c>
    </row>
    <row r="33" spans="2:10" ht="16" x14ac:dyDescent="0.2">
      <c r="B33" s="66"/>
      <c r="C33" s="66"/>
      <c r="F33" s="67">
        <v>46066</v>
      </c>
      <c r="G33" s="67">
        <v>46143</v>
      </c>
      <c r="H33" s="67">
        <v>46356</v>
      </c>
      <c r="I33" s="65" t="s">
        <v>663</v>
      </c>
      <c r="J33" s="67">
        <v>46387</v>
      </c>
    </row>
    <row r="34" spans="2:10" ht="16" x14ac:dyDescent="0.2">
      <c r="B34" s="66"/>
      <c r="C34" s="66"/>
      <c r="F34" s="67">
        <v>46069</v>
      </c>
      <c r="G34" s="67">
        <v>46069</v>
      </c>
      <c r="H34" s="67">
        <v>46387</v>
      </c>
      <c r="I34" s="65" t="s">
        <v>663</v>
      </c>
      <c r="J34" s="67">
        <v>46419</v>
      </c>
    </row>
    <row r="35" spans="2:10" ht="16" x14ac:dyDescent="0.2">
      <c r="B35" s="66"/>
      <c r="C35" s="66"/>
      <c r="F35" s="67">
        <v>46054</v>
      </c>
      <c r="G35" s="67">
        <v>46037</v>
      </c>
      <c r="H35" s="66"/>
      <c r="I35" s="65" t="s">
        <v>663</v>
      </c>
      <c r="J35" s="67">
        <v>46069</v>
      </c>
    </row>
    <row r="36" spans="2:10" ht="16" x14ac:dyDescent="0.2">
      <c r="B36" s="66"/>
      <c r="C36" s="66"/>
      <c r="F36" s="67">
        <v>46054</v>
      </c>
      <c r="G36" s="66"/>
      <c r="H36" s="66"/>
      <c r="I36" s="65" t="s">
        <v>698</v>
      </c>
      <c r="J36" s="67">
        <v>46054</v>
      </c>
    </row>
    <row r="37" spans="2:10" ht="16" x14ac:dyDescent="0.2">
      <c r="B37" s="66"/>
      <c r="C37" s="66"/>
      <c r="F37" s="67">
        <v>46054</v>
      </c>
      <c r="G37" s="66"/>
      <c r="H37" s="66"/>
      <c r="I37" s="65" t="s">
        <v>698</v>
      </c>
      <c r="J37" s="67">
        <v>46054</v>
      </c>
    </row>
    <row r="38" spans="2:10" ht="16" x14ac:dyDescent="0.2">
      <c r="B38" s="65" t="s">
        <v>670</v>
      </c>
      <c r="C38" s="65" t="s">
        <v>671</v>
      </c>
      <c r="F38" s="66"/>
      <c r="G38" s="66"/>
      <c r="H38" s="66"/>
      <c r="I38" s="66"/>
      <c r="J38" s="66"/>
    </row>
    <row r="39" spans="2:10" ht="16" x14ac:dyDescent="0.2">
      <c r="B39" s="66"/>
      <c r="C39" s="65" t="s">
        <v>672</v>
      </c>
      <c r="F39" s="66"/>
      <c r="G39" s="66"/>
      <c r="H39" s="66"/>
      <c r="I39" s="66"/>
      <c r="J39" s="66"/>
    </row>
    <row r="40" spans="2:10" ht="16" x14ac:dyDescent="0.2">
      <c r="B40" s="65" t="s">
        <v>699</v>
      </c>
      <c r="C40" s="66"/>
      <c r="F40" s="67">
        <v>46082</v>
      </c>
      <c r="G40" s="67">
        <v>46082</v>
      </c>
      <c r="H40" s="66"/>
      <c r="I40" s="65" t="s">
        <v>663</v>
      </c>
      <c r="J40" s="67">
        <v>46266</v>
      </c>
    </row>
    <row r="41" spans="2:10" ht="16" x14ac:dyDescent="0.2">
      <c r="B41" s="66"/>
      <c r="C41" s="66"/>
      <c r="F41" s="67">
        <v>46037</v>
      </c>
      <c r="G41" s="67">
        <v>46174</v>
      </c>
      <c r="H41" s="67">
        <v>46661</v>
      </c>
      <c r="I41" s="65" t="s">
        <v>663</v>
      </c>
      <c r="J41" s="67">
        <v>46631</v>
      </c>
    </row>
    <row r="42" spans="2:10" ht="16" x14ac:dyDescent="0.2">
      <c r="B42" s="66"/>
      <c r="C42" s="66"/>
      <c r="F42" s="67">
        <v>46054</v>
      </c>
      <c r="G42" s="67">
        <v>46174</v>
      </c>
      <c r="H42" s="66"/>
      <c r="I42" s="65" t="s">
        <v>663</v>
      </c>
      <c r="J42" s="67">
        <v>46266</v>
      </c>
    </row>
    <row r="43" spans="2:10" ht="16" x14ac:dyDescent="0.2">
      <c r="B43" s="66"/>
      <c r="C43" s="66"/>
      <c r="F43" s="67">
        <v>46059</v>
      </c>
      <c r="G43" s="65" t="s">
        <v>700</v>
      </c>
      <c r="H43" s="67">
        <v>46111</v>
      </c>
      <c r="I43" s="66"/>
      <c r="J43" s="67">
        <v>46111</v>
      </c>
    </row>
    <row r="44" spans="2:10" ht="16" x14ac:dyDescent="0.2">
      <c r="B44" s="66"/>
      <c r="C44" s="66"/>
      <c r="F44" s="67">
        <v>46038</v>
      </c>
      <c r="G44" s="65" t="s">
        <v>701</v>
      </c>
      <c r="H44" s="67">
        <v>46143</v>
      </c>
      <c r="I44" s="66"/>
      <c r="J44" s="67">
        <v>46122</v>
      </c>
    </row>
    <row r="45" spans="2:10" ht="16" x14ac:dyDescent="0.2">
      <c r="B45" s="66"/>
      <c r="C45" s="66"/>
      <c r="F45" s="67">
        <v>46174</v>
      </c>
      <c r="G45" s="66"/>
      <c r="H45" s="66"/>
      <c r="I45" s="65" t="s">
        <v>689</v>
      </c>
      <c r="J45" s="67">
        <v>46692</v>
      </c>
    </row>
    <row r="46" spans="2:10" ht="16" x14ac:dyDescent="0.2">
      <c r="B46" s="65" t="s">
        <v>670</v>
      </c>
      <c r="C46" s="65" t="s">
        <v>671</v>
      </c>
      <c r="F46" s="66"/>
      <c r="G46" s="67">
        <v>46327</v>
      </c>
      <c r="H46" s="66"/>
      <c r="I46" s="66"/>
      <c r="J46" s="66"/>
    </row>
    <row r="47" spans="2:10" ht="16" x14ac:dyDescent="0.2">
      <c r="B47" s="66"/>
      <c r="C47" s="65" t="s">
        <v>672</v>
      </c>
      <c r="F47" s="66"/>
      <c r="G47" s="66"/>
      <c r="H47" s="66"/>
      <c r="I47" s="66"/>
      <c r="J47" s="66"/>
    </row>
    <row r="48" spans="2:10" ht="16" x14ac:dyDescent="0.2">
      <c r="B48" s="65" t="s">
        <v>702</v>
      </c>
      <c r="C48" s="66"/>
      <c r="F48" s="67">
        <v>45646</v>
      </c>
      <c r="G48" s="66"/>
      <c r="H48" s="66"/>
      <c r="I48" s="65" t="s">
        <v>663</v>
      </c>
      <c r="J48" s="67">
        <v>46221</v>
      </c>
    </row>
    <row r="49" spans="2:10" ht="16" x14ac:dyDescent="0.2">
      <c r="B49" s="66"/>
      <c r="C49" s="66"/>
      <c r="F49" s="67">
        <v>46344</v>
      </c>
      <c r="G49" s="67">
        <v>46082</v>
      </c>
      <c r="H49" s="67">
        <v>46142</v>
      </c>
      <c r="I49" s="66"/>
      <c r="J49" s="67">
        <v>46142</v>
      </c>
    </row>
    <row r="50" spans="2:10" ht="16" x14ac:dyDescent="0.2">
      <c r="B50" s="66"/>
      <c r="C50" s="66"/>
      <c r="F50" s="67">
        <v>45733</v>
      </c>
      <c r="G50" s="67">
        <v>46096</v>
      </c>
      <c r="H50" s="67">
        <v>46218</v>
      </c>
      <c r="I50" s="65" t="s">
        <v>663</v>
      </c>
      <c r="J50" s="67">
        <v>46237</v>
      </c>
    </row>
    <row r="51" spans="2:10" ht="16" x14ac:dyDescent="0.2">
      <c r="B51" s="66"/>
      <c r="C51" s="66"/>
      <c r="F51" s="67">
        <v>45992</v>
      </c>
      <c r="G51" s="67">
        <v>46327</v>
      </c>
      <c r="H51" s="67">
        <v>46419</v>
      </c>
      <c r="I51" s="65" t="s">
        <v>663</v>
      </c>
      <c r="J51" s="67">
        <v>46388</v>
      </c>
    </row>
    <row r="52" spans="2:10" ht="16" x14ac:dyDescent="0.2">
      <c r="B52" s="66"/>
      <c r="C52" s="66"/>
      <c r="F52" s="67">
        <v>45671</v>
      </c>
      <c r="G52" s="66"/>
      <c r="H52" s="66"/>
      <c r="I52" s="65" t="s">
        <v>689</v>
      </c>
      <c r="J52" s="67">
        <v>46631</v>
      </c>
    </row>
    <row r="53" spans="2:10" ht="16" x14ac:dyDescent="0.2">
      <c r="B53" s="66"/>
      <c r="C53" s="66"/>
      <c r="F53" s="67">
        <v>46006</v>
      </c>
      <c r="G53" s="67">
        <v>46082</v>
      </c>
      <c r="H53" s="67">
        <v>46107</v>
      </c>
      <c r="I53" s="65" t="s">
        <v>663</v>
      </c>
      <c r="J53" s="67">
        <v>46082</v>
      </c>
    </row>
    <row r="54" spans="2:10" ht="16" x14ac:dyDescent="0.2">
      <c r="B54" s="66"/>
      <c r="C54" s="66"/>
      <c r="F54" s="67">
        <v>45982</v>
      </c>
      <c r="G54" s="67">
        <v>46082</v>
      </c>
      <c r="H54" s="67">
        <v>46107</v>
      </c>
      <c r="I54" s="65" t="s">
        <v>663</v>
      </c>
      <c r="J54" s="67">
        <v>46094</v>
      </c>
    </row>
    <row r="55" spans="2:10" ht="16" x14ac:dyDescent="0.2">
      <c r="B55" s="66"/>
      <c r="C55" s="66"/>
      <c r="F55" s="67">
        <v>46023</v>
      </c>
      <c r="G55" s="66"/>
      <c r="H55" s="66"/>
      <c r="I55" s="66"/>
      <c r="J55" s="67">
        <v>46387</v>
      </c>
    </row>
    <row r="56" spans="2:10" ht="16" x14ac:dyDescent="0.2">
      <c r="B56" s="66"/>
      <c r="C56" s="66"/>
      <c r="F56" s="67">
        <v>45700</v>
      </c>
      <c r="G56" s="66"/>
      <c r="H56" s="66"/>
      <c r="I56" s="65" t="s">
        <v>663</v>
      </c>
      <c r="J56" s="67">
        <v>45870</v>
      </c>
    </row>
    <row r="57" spans="2:10" ht="16" x14ac:dyDescent="0.2">
      <c r="B57" s="66"/>
      <c r="C57" s="66"/>
      <c r="F57" s="67">
        <v>45433</v>
      </c>
      <c r="G57" s="67">
        <v>46096</v>
      </c>
      <c r="H57" s="67">
        <v>46142</v>
      </c>
      <c r="I57" s="65" t="s">
        <v>663</v>
      </c>
      <c r="J57" s="67">
        <v>46752</v>
      </c>
    </row>
    <row r="58" spans="2:10" ht="16" x14ac:dyDescent="0.2">
      <c r="B58" s="66"/>
      <c r="C58" s="66"/>
      <c r="F58" s="67">
        <v>46009</v>
      </c>
      <c r="G58" s="67">
        <v>46174</v>
      </c>
      <c r="H58" s="67">
        <v>46539</v>
      </c>
      <c r="I58" s="65" t="s">
        <v>663</v>
      </c>
      <c r="J58" s="67">
        <v>46478</v>
      </c>
    </row>
    <row r="59" spans="2:10" ht="16" x14ac:dyDescent="0.2">
      <c r="B59" s="66"/>
      <c r="C59" s="66"/>
      <c r="F59" s="67">
        <v>45742</v>
      </c>
      <c r="G59" s="67">
        <v>46209</v>
      </c>
      <c r="H59" s="67">
        <v>46266</v>
      </c>
      <c r="I59" s="65" t="s">
        <v>689</v>
      </c>
      <c r="J59" s="67">
        <v>46235</v>
      </c>
    </row>
    <row r="60" spans="2:10" ht="16" x14ac:dyDescent="0.2">
      <c r="B60" s="66"/>
      <c r="C60" s="66"/>
      <c r="F60" s="67">
        <v>45992</v>
      </c>
      <c r="G60" s="67">
        <v>46054</v>
      </c>
      <c r="H60" s="67">
        <v>46100</v>
      </c>
      <c r="I60" s="65" t="s">
        <v>663</v>
      </c>
      <c r="J60" s="67">
        <v>46101</v>
      </c>
    </row>
    <row r="61" spans="2:10" ht="16" x14ac:dyDescent="0.2">
      <c r="B61" s="66"/>
      <c r="C61" s="66"/>
      <c r="F61" s="67">
        <v>45646</v>
      </c>
      <c r="G61" s="67">
        <v>46027</v>
      </c>
      <c r="H61" s="67">
        <v>46143</v>
      </c>
      <c r="I61" s="65" t="s">
        <v>663</v>
      </c>
      <c r="J61" s="67">
        <v>45807</v>
      </c>
    </row>
    <row r="62" spans="2:10" ht="16" x14ac:dyDescent="0.2">
      <c r="B62" s="66"/>
      <c r="C62" s="66"/>
      <c r="F62" s="67">
        <v>45917</v>
      </c>
      <c r="G62" s="66"/>
      <c r="H62" s="66"/>
      <c r="I62" s="65" t="s">
        <v>663</v>
      </c>
      <c r="J62" s="67">
        <v>46113</v>
      </c>
    </row>
    <row r="63" spans="2:10" ht="16" x14ac:dyDescent="0.2">
      <c r="B63" s="66"/>
      <c r="C63" s="66"/>
      <c r="F63" s="67">
        <v>46001</v>
      </c>
      <c r="G63" s="67">
        <v>46040</v>
      </c>
      <c r="H63" s="67">
        <v>46173</v>
      </c>
      <c r="I63" s="65" t="s">
        <v>663</v>
      </c>
      <c r="J63" s="67">
        <v>46142</v>
      </c>
    </row>
    <row r="64" spans="2:10" ht="16" x14ac:dyDescent="0.2">
      <c r="B64" s="66"/>
      <c r="C64" s="66"/>
      <c r="F64" s="67">
        <v>45961</v>
      </c>
      <c r="G64" s="67">
        <v>46054</v>
      </c>
      <c r="H64" s="67">
        <v>46113</v>
      </c>
      <c r="I64" s="65" t="s">
        <v>663</v>
      </c>
      <c r="J64" s="67">
        <v>46112</v>
      </c>
    </row>
    <row r="65" spans="2:10" ht="16" x14ac:dyDescent="0.2">
      <c r="B65" s="66"/>
      <c r="C65" s="66"/>
      <c r="F65" s="67">
        <v>45280</v>
      </c>
      <c r="G65" s="67">
        <v>46082</v>
      </c>
      <c r="H65" s="67">
        <v>46356</v>
      </c>
      <c r="I65" s="65" t="s">
        <v>663</v>
      </c>
      <c r="J65" s="67">
        <v>46356</v>
      </c>
    </row>
    <row r="66" spans="2:10" ht="16" x14ac:dyDescent="0.2">
      <c r="B66" s="66"/>
      <c r="C66" s="66"/>
      <c r="F66" s="67">
        <v>45964</v>
      </c>
      <c r="G66" s="67">
        <v>46037</v>
      </c>
      <c r="H66" s="67">
        <v>46153</v>
      </c>
      <c r="I66" s="65" t="s">
        <v>148</v>
      </c>
      <c r="J66" s="67">
        <v>46188</v>
      </c>
    </row>
    <row r="67" spans="2:10" ht="16" x14ac:dyDescent="0.2">
      <c r="B67" s="66"/>
      <c r="C67" s="66"/>
      <c r="F67" s="67">
        <v>45784</v>
      </c>
      <c r="G67" s="67">
        <v>46357</v>
      </c>
      <c r="H67" s="67">
        <v>46057</v>
      </c>
      <c r="I67" s="65" t="s">
        <v>148</v>
      </c>
      <c r="J67" s="67">
        <v>46052</v>
      </c>
    </row>
    <row r="68" spans="2:10" ht="16" x14ac:dyDescent="0.2">
      <c r="B68" s="66"/>
      <c r="C68" s="66"/>
      <c r="F68" s="67">
        <v>45961</v>
      </c>
      <c r="G68" s="67">
        <v>46054</v>
      </c>
      <c r="H68" s="67">
        <v>46096</v>
      </c>
      <c r="I68" s="65" t="s">
        <v>703</v>
      </c>
      <c r="J68" s="67">
        <v>46055</v>
      </c>
    </row>
    <row r="69" spans="2:10" ht="16" x14ac:dyDescent="0.2">
      <c r="B69" s="66"/>
      <c r="C69" s="66"/>
      <c r="F69" s="67">
        <v>45901</v>
      </c>
      <c r="G69" s="67">
        <v>46113</v>
      </c>
      <c r="H69" s="67">
        <v>46174</v>
      </c>
      <c r="I69" s="65" t="s">
        <v>663</v>
      </c>
      <c r="J69" s="67">
        <v>46142</v>
      </c>
    </row>
    <row r="70" spans="2:10" ht="16" x14ac:dyDescent="0.2">
      <c r="B70" s="65" t="s">
        <v>670</v>
      </c>
      <c r="C70" s="65" t="s">
        <v>671</v>
      </c>
      <c r="D70" s="66"/>
      <c r="E70" s="66"/>
      <c r="F70" s="66"/>
      <c r="G70" s="66"/>
      <c r="H70" s="66"/>
      <c r="I70" s="66"/>
      <c r="J70" s="66"/>
    </row>
    <row r="71" spans="2:10" ht="16" x14ac:dyDescent="0.2">
      <c r="B71" s="66"/>
      <c r="C71" s="65" t="s">
        <v>672</v>
      </c>
      <c r="D71" s="65">
        <v>22</v>
      </c>
      <c r="E71" s="66"/>
      <c r="F71" s="66"/>
      <c r="G71" s="66"/>
      <c r="H71" s="66"/>
      <c r="I71" s="66"/>
      <c r="J71" s="66"/>
    </row>
    <row r="72" spans="2:10" ht="16" x14ac:dyDescent="0.2">
      <c r="B72" s="66"/>
      <c r="C72" s="65" t="s">
        <v>671</v>
      </c>
      <c r="D72" s="66"/>
      <c r="E72" s="66"/>
      <c r="F72" s="66"/>
      <c r="G72" s="66"/>
      <c r="H72" s="66"/>
      <c r="I72" s="66"/>
      <c r="J72" s="66"/>
    </row>
    <row r="73" spans="2:10" ht="16" x14ac:dyDescent="0.2">
      <c r="B73" s="66"/>
      <c r="C73" s="65" t="s">
        <v>672</v>
      </c>
      <c r="D73" s="65">
        <v>57</v>
      </c>
      <c r="E73" s="66"/>
      <c r="F73" s="66"/>
      <c r="G73" s="66"/>
      <c r="H73" s="66"/>
      <c r="I73" s="66"/>
      <c r="J73" s="66"/>
    </row>
    <row r="74" spans="2:10" ht="16" x14ac:dyDescent="0.2">
      <c r="B74" s="66"/>
      <c r="C74" s="65" t="s">
        <v>671</v>
      </c>
      <c r="D74" s="66"/>
      <c r="E74" s="66"/>
      <c r="F74" s="66"/>
      <c r="G74" s="66"/>
      <c r="H74" s="66"/>
      <c r="I74" s="66"/>
      <c r="J74" s="66"/>
    </row>
    <row r="75" spans="2:10" ht="16" x14ac:dyDescent="0.2">
      <c r="B75" s="66"/>
      <c r="C75" s="65" t="s">
        <v>672</v>
      </c>
      <c r="D75" s="65">
        <v>57</v>
      </c>
      <c r="E75" s="66"/>
      <c r="F75" s="66"/>
      <c r="G75" s="66"/>
      <c r="H75" s="66"/>
      <c r="I75" s="66"/>
      <c r="J75" s="66"/>
    </row>
    <row r="76" spans="2:10" ht="16" x14ac:dyDescent="0.2">
      <c r="B76" s="66"/>
      <c r="C76" s="66"/>
      <c r="D76" s="66"/>
      <c r="E76" s="66"/>
      <c r="F76" s="66"/>
      <c r="G76" s="66"/>
      <c r="H76" s="66"/>
      <c r="I76" s="66"/>
      <c r="J76" s="66"/>
    </row>
    <row r="77" spans="2:10" ht="16" x14ac:dyDescent="0.2">
      <c r="B77" s="66"/>
      <c r="C77" s="66"/>
      <c r="D77" s="66"/>
      <c r="E77" s="66"/>
      <c r="F77" s="66"/>
      <c r="G77" s="66"/>
      <c r="H77" s="66"/>
      <c r="I77" s="66"/>
      <c r="J77" s="66"/>
    </row>
    <row r="78" spans="2:10" ht="16" x14ac:dyDescent="0.2">
      <c r="B78" s="66"/>
      <c r="C78" s="66"/>
      <c r="D78" s="66"/>
      <c r="E78" s="66"/>
      <c r="F78" s="66"/>
      <c r="G78" s="66"/>
      <c r="H78" s="66"/>
      <c r="I78" s="66"/>
      <c r="J78" s="6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DDD52-0483-FF4D-982A-84C17811F249}">
  <dimension ref="B1:G26"/>
  <sheetViews>
    <sheetView workbookViewId="0">
      <selection activeCell="B3" sqref="B3"/>
    </sheetView>
  </sheetViews>
  <sheetFormatPr baseColWidth="10" defaultColWidth="11.33203125" defaultRowHeight="15" x14ac:dyDescent="0.2"/>
  <cols>
    <col min="2" max="2" width="31" bestFit="1" customWidth="1"/>
    <col min="3" max="3" width="56" bestFit="1" customWidth="1"/>
    <col min="6" max="6" width="10" bestFit="1" customWidth="1"/>
    <col min="7" max="7" width="49" bestFit="1" customWidth="1"/>
  </cols>
  <sheetData>
    <row r="1" spans="2:7" x14ac:dyDescent="0.2">
      <c r="B1" t="s">
        <v>704</v>
      </c>
      <c r="F1" t="s">
        <v>705</v>
      </c>
    </row>
    <row r="2" spans="2:7" x14ac:dyDescent="0.2">
      <c r="B2" s="5" t="s">
        <v>706</v>
      </c>
      <c r="C2" s="5" t="s">
        <v>2</v>
      </c>
      <c r="F2" s="5"/>
      <c r="G2" s="5" t="s">
        <v>2</v>
      </c>
    </row>
    <row r="3" spans="2:7" x14ac:dyDescent="0.2">
      <c r="B3" s="11"/>
      <c r="C3" s="16"/>
      <c r="F3" s="11"/>
      <c r="G3" s="16"/>
    </row>
    <row r="4" spans="2:7" x14ac:dyDescent="0.2">
      <c r="B4" s="6"/>
      <c r="C4" s="8"/>
      <c r="F4" s="6"/>
      <c r="G4" s="39"/>
    </row>
    <row r="5" spans="2:7" x14ac:dyDescent="0.2">
      <c r="B5" s="6"/>
      <c r="C5" s="6"/>
      <c r="F5" s="6"/>
      <c r="G5" s="6"/>
    </row>
    <row r="6" spans="2:7" x14ac:dyDescent="0.2">
      <c r="B6" s="6"/>
      <c r="C6" s="6"/>
      <c r="F6" s="6"/>
      <c r="G6" s="57"/>
    </row>
    <row r="7" spans="2:7" x14ac:dyDescent="0.2">
      <c r="B7" s="6"/>
      <c r="C7" s="10"/>
      <c r="F7" s="6"/>
      <c r="G7" s="6"/>
    </row>
    <row r="8" spans="2:7" x14ac:dyDescent="0.2">
      <c r="B8" s="6"/>
      <c r="C8" s="6"/>
      <c r="F8" s="6"/>
      <c r="G8" s="6"/>
    </row>
    <row r="9" spans="2:7" x14ac:dyDescent="0.2">
      <c r="B9" s="6"/>
      <c r="C9" s="6"/>
      <c r="F9" s="6"/>
      <c r="G9" s="6"/>
    </row>
    <row r="10" spans="2:7" x14ac:dyDescent="0.2">
      <c r="B10" s="6"/>
      <c r="C10" s="6"/>
      <c r="F10" s="6"/>
      <c r="G10" s="6"/>
    </row>
    <row r="11" spans="2:7" x14ac:dyDescent="0.2">
      <c r="B11" s="6"/>
      <c r="C11" s="6"/>
      <c r="F11" s="6"/>
      <c r="G11" s="6"/>
    </row>
    <row r="12" spans="2:7" x14ac:dyDescent="0.2">
      <c r="B12" s="6"/>
      <c r="C12" s="6"/>
      <c r="F12" s="6"/>
      <c r="G12" s="6"/>
    </row>
    <row r="13" spans="2:7" x14ac:dyDescent="0.2">
      <c r="B13" s="6"/>
      <c r="C13" s="6"/>
      <c r="F13" s="6"/>
      <c r="G13" s="6"/>
    </row>
    <row r="14" spans="2:7" x14ac:dyDescent="0.2">
      <c r="B14" s="6"/>
      <c r="C14" s="6"/>
      <c r="F14" s="6"/>
      <c r="G14" s="6"/>
    </row>
    <row r="15" spans="2:7" x14ac:dyDescent="0.2">
      <c r="B15" s="6"/>
      <c r="C15" s="6"/>
      <c r="F15" s="6"/>
      <c r="G15" s="6"/>
    </row>
    <row r="16" spans="2:7" x14ac:dyDescent="0.2">
      <c r="B16" s="6"/>
      <c r="C16" s="6"/>
      <c r="F16" s="6"/>
      <c r="G16" s="6"/>
    </row>
    <row r="17" spans="2:7" x14ac:dyDescent="0.2">
      <c r="B17" s="6"/>
      <c r="C17" s="6"/>
      <c r="F17" s="6"/>
      <c r="G17" s="6"/>
    </row>
    <row r="18" spans="2:7" x14ac:dyDescent="0.2">
      <c r="B18" s="6"/>
      <c r="C18" s="10"/>
      <c r="F18" s="6"/>
      <c r="G18" s="10"/>
    </row>
    <row r="19" spans="2:7" x14ac:dyDescent="0.2">
      <c r="B19" s="6"/>
      <c r="C19" s="10"/>
      <c r="F19" s="6"/>
      <c r="G19" s="10"/>
    </row>
    <row r="20" spans="2:7" x14ac:dyDescent="0.2">
      <c r="B20" s="6"/>
      <c r="C20" s="6"/>
      <c r="F20" s="6"/>
      <c r="G20" s="6"/>
    </row>
    <row r="21" spans="2:7" x14ac:dyDescent="0.2">
      <c r="B21" s="6"/>
      <c r="C21" s="6"/>
      <c r="F21" s="6"/>
      <c r="G21" s="6"/>
    </row>
    <row r="22" spans="2:7" x14ac:dyDescent="0.2">
      <c r="B22" s="6"/>
      <c r="C22" s="6"/>
      <c r="F22" s="6"/>
      <c r="G22" s="6"/>
    </row>
    <row r="23" spans="2:7" x14ac:dyDescent="0.2">
      <c r="B23" s="6"/>
      <c r="C23" s="6"/>
      <c r="F23" s="6"/>
      <c r="G23" s="6"/>
    </row>
    <row r="24" spans="2:7" x14ac:dyDescent="0.2">
      <c r="B24" s="6"/>
      <c r="C24" s="6"/>
      <c r="F24" s="6"/>
      <c r="G24" s="6"/>
    </row>
    <row r="25" spans="2:7" x14ac:dyDescent="0.2">
      <c r="B25" s="6"/>
      <c r="C25" s="6"/>
      <c r="F25" s="6"/>
      <c r="G25" s="6"/>
    </row>
    <row r="26" spans="2:7" x14ac:dyDescent="0.2">
      <c r="B26" s="6"/>
      <c r="C26" s="6"/>
      <c r="F26" s="6"/>
      <c r="G26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a60982-8454-4f81-8091-07a5d1f7fc2a" xsi:nil="true"/>
    <lcf76f155ced4ddcb4097134ff3c332f xmlns="b8eb8a83-abd4-4438-a0df-cb43a28fbd3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9136DABB95C74195B533403C7E54F9" ma:contentTypeVersion="16" ma:contentTypeDescription="Create a new document." ma:contentTypeScope="" ma:versionID="a044a58ead9879e193ed8641958e2a7e">
  <xsd:schema xmlns:xsd="http://www.w3.org/2001/XMLSchema" xmlns:xs="http://www.w3.org/2001/XMLSchema" xmlns:p="http://schemas.microsoft.com/office/2006/metadata/properties" xmlns:ns2="b8eb8a83-abd4-4438-a0df-cb43a28fbd31" xmlns:ns3="0ca60982-8454-4f81-8091-07a5d1f7fc2a" targetNamespace="http://schemas.microsoft.com/office/2006/metadata/properties" ma:root="true" ma:fieldsID="46338b14859002caca561365b3826c55" ns2:_="" ns3:_="">
    <xsd:import namespace="b8eb8a83-abd4-4438-a0df-cb43a28fbd31"/>
    <xsd:import namespace="0ca60982-8454-4f81-8091-07a5d1f7fc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b8a83-abd4-4438-a0df-cb43a28fbd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a7a3944-df26-4da5-a18a-cb2338e9f7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a60982-8454-4f81-8091-07a5d1f7fc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400af9f-7f83-48f8-83e8-314c9bb04082}" ma:internalName="TaxCatchAll" ma:showField="CatchAllData" ma:web="0ca60982-8454-4f81-8091-07a5d1f7fc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D7E65C-0B30-4F26-B4A8-4EADD0D5F804}">
  <ds:schemaRefs>
    <ds:schemaRef ds:uri="http://purl.org/dc/elements/1.1/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b8eb8a83-abd4-4438-a0df-cb43a28fbd31"/>
    <ds:schemaRef ds:uri="http://www.w3.org/XML/1998/namespace"/>
    <ds:schemaRef ds:uri="0ca60982-8454-4f81-8091-07a5d1f7fc2a"/>
  </ds:schemaRefs>
</ds:datastoreItem>
</file>

<file path=customXml/itemProps2.xml><?xml version="1.0" encoding="utf-8"?>
<ds:datastoreItem xmlns:ds="http://schemas.openxmlformats.org/officeDocument/2006/customXml" ds:itemID="{1D433981-5117-4060-9F23-50B11BF942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eb8a83-abd4-4438-a0df-cb43a28fbd31"/>
    <ds:schemaRef ds:uri="0ca60982-8454-4f81-8091-07a5d1f7fc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FA483C-96E5-46E0-B1F7-155231E439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Active Projects</vt:lpstr>
      <vt:lpstr>Closeout</vt:lpstr>
      <vt:lpstr>Complete</vt:lpstr>
      <vt:lpstr>On-Site PM Schedule (JOE)</vt:lpstr>
      <vt:lpstr>March 23</vt:lpstr>
      <vt:lpstr>Old Projects</vt:lpstr>
      <vt:lpstr>Sheet1</vt:lpstr>
      <vt:lpstr>Ops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Krissy Carter</dc:creator>
  <cp:keywords/>
  <dc:description/>
  <cp:lastModifiedBy>Jesse Vellucci</cp:lastModifiedBy>
  <cp:revision/>
  <dcterms:created xsi:type="dcterms:W3CDTF">2022-10-25T16:10:46Z</dcterms:created>
  <dcterms:modified xsi:type="dcterms:W3CDTF">2026-06-23T13:37:57Z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0x010100409136DABB95C74195B533403C7E54F9</vt:lpwstr>
  </property>
  <property fmtid="{D5CDD505-2E9C-101B-9397-08002B2CF9AE}" pid="3" name="Order">
    <vt:r8>4100</vt:r8>
  </property>
  <property fmtid="{D5CDD505-2E9C-101B-9397-08002B2CF9AE}" pid="4" name="MediaServiceImageTags">
    <vt:lpwstr/>
  </property>
</Properties>
</file>