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isplay Specifications" state="visible" r:id="rId5"/>
    <sheet sheetId="3" name="Margin Waterfall" state="visible" r:id="rId6"/>
  </sheets>
  <calcPr calcId="171027"/>
</workbook>
</file>

<file path=xl/sharedStrings.xml><?xml version="1.0" encoding="utf-8"?>
<sst xmlns="http://schemas.openxmlformats.org/spreadsheetml/2006/main" count="99" uniqueCount="54">
  <si>
    <t>ANC — MARGIN ANALYSIS</t>
  </si>
  <si>
    <t>Prudential Center — Scoreboard + Ribbons — Budget Estimate</t>
  </si>
  <si>
    <t>Date: 2026-04-08 | Currency: USD | Type: Budget Estimate</t>
  </si>
  <si>
    <t>GRAND TOTAL</t>
  </si>
  <si>
    <t>Cost</t>
  </si>
  <si>
    <t>Selling Price</t>
  </si>
  <si>
    <t>Margin $</t>
  </si>
  <si>
    <t>Margin %</t>
  </si>
  <si>
    <t>Line Item</t>
  </si>
  <si>
    <t>Ribbon 2 (180×4ft) (16mm)</t>
  </si>
  <si>
    <t>Remote Controller (?×?ft) (?mm)</t>
  </si>
  <si>
    <t>Main Scoreboard (25×15ft) (10mm)</t>
  </si>
  <si>
    <t>Ribbon 1 (180×4ft) (16mm)</t>
  </si>
  <si>
    <t>Spare Parts (5%)</t>
  </si>
  <si>
    <t>Bond (1.5%)</t>
  </si>
  <si>
    <t>DISPLAY SPECIFICATIONS</t>
  </si>
  <si>
    <t>Ribbon 2</t>
  </si>
  <si>
    <t>Dimensions</t>
  </si>
  <si>
    <t>180' × 4' ft</t>
  </si>
  <si>
    <t>Total Area</t>
  </si>
  <si>
    <t>720 sq ft</t>
  </si>
  <si>
    <t>Pixel Pitch</t>
  </si>
  <si>
    <t>16mm</t>
  </si>
  <si>
    <t>Environment</t>
  </si>
  <si>
    <t>INDOOR</t>
  </si>
  <si>
    <t>Product Match</t>
  </si>
  <si>
    <t>RateCard: LED Cost — 16mm | Product match not found in ledProducts (used rate card only)</t>
  </si>
  <si>
    <t>$61,200</t>
  </si>
  <si>
    <t>Sell</t>
  </si>
  <si>
    <t>$87,429</t>
  </si>
  <si>
    <t>Margin</t>
  </si>
  <si>
    <t>30%</t>
  </si>
  <si>
    <t>Remote Controller</t>
  </si>
  <si>
    <t>?' × ?' ft</t>
  </si>
  <si>
    <t>? sq ft</t>
  </si>
  <si>
    <t>?mm</t>
  </si>
  <si>
    <t>OES ISCREM-S</t>
  </si>
  <si>
    <t>$99</t>
  </si>
  <si>
    <t>$116</t>
  </si>
  <si>
    <t>15%</t>
  </si>
  <si>
    <t>Main Scoreboard</t>
  </si>
  <si>
    <t>25' × 15' ft</t>
  </si>
  <si>
    <t>375 sq ft</t>
  </si>
  <si>
    <t>10mm</t>
  </si>
  <si>
    <t>RateCard: LED Cost — 10mm (default) | Product: Yaham S3 10mm Standard (no costPerSqFt on product)</t>
  </si>
  <si>
    <t>$45,000</t>
  </si>
  <si>
    <t>$64,286</t>
  </si>
  <si>
    <t>Ribbon 1</t>
  </si>
  <si>
    <t>MARGIN WATERFALL ANALYSIS</t>
  </si>
  <si>
    <t>Category</t>
  </si>
  <si>
    <t>Ribbon 2 (16mm)</t>
  </si>
  <si>
    <t>Remote Controller (?mm)</t>
  </si>
  <si>
    <t>Main Scoreboard (10mm)</t>
  </si>
  <si>
    <t>Ribbon 1 (16mm)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</si>
</sst>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color rgb="FFFFFFFF"/>
      <sz val="12"/>
      <name val="Calibri"/>
    </font>
    <font>
      <i/>
      <sz val="10"/>
      <name val="Calibri"/>
    </font>
    <font>
      <b/>
      <color rgb="FFFFFFFF"/>
      <sz val="11"/>
      <name val="Calibri"/>
    </font>
    <font>
      <b/>
      <sz val="14"/>
      <name val="Calibri"/>
    </font>
    <font>
      <b/>
      <color rgb="FF27AE60"/>
      <sz val="14"/>
      <name val="Calibri"/>
    </font>
    <font>
      <sz val="10"/>
      <name val="Calibri"/>
    </font>
    <font>
      <b/>
      <color rgb="FF27AE60"/>
      <sz val="10"/>
      <name val="Calibri"/>
    </font>
    <font>
      <b/>
      <color rgb="FFFFFFFF"/>
      <sz val="16"/>
      <name val="Calibri"/>
    </font>
    <font>
      <b/>
      <color rgb="FFFFFFFF"/>
      <sz val="1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1A1A2E"/>
      </patternFill>
    </fill>
    <fill>
      <patternFill patternType="solid">
        <fgColor rgb="FFF5F5F5"/>
      </patternFill>
    </fill>
    <fill>
      <patternFill patternType="solid">
        <fgColor rgb="FF28A745"/>
      </patternFill>
    </fill>
    <fill>
      <patternFill patternType="solid">
        <fgColor rgb="FFF39C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5" fillId="0" borderId="0" xfId="0" applyNumberFormat="1" applyFont="1"/>
    <xf numFmtId="165" fontId="6" fillId="0" borderId="0" xfId="0" applyNumberFormat="1" applyFont="1"/>
    <xf numFmtId="0" fontId="4" fillId="2" borderId="0" xfId="0" applyFont="1" applyFill="1" applyAlignment="1">
      <alignment horizontal="center"/>
    </xf>
    <xf numFmtId="0" fontId="7" fillId="0" borderId="0" xfId="0" applyFont="1"/>
    <xf numFmtId="164" fontId="0" fillId="0" borderId="0" xfId="0" applyNumberFormat="1"/>
    <xf numFmtId="9" fontId="8" fillId="0" borderId="0" xfId="0" applyNumberFormat="1" applyFont="1"/>
    <xf numFmtId="0" fontId="7" fillId="4" borderId="0" xfId="0" applyFont="1" applyFill="1"/>
    <xf numFmtId="164" fontId="0" fillId="4" borderId="0" xfId="0" applyNumberFormat="1" applyFill="1"/>
    <xf numFmtId="9" fontId="8" fillId="4" borderId="0" xfId="0" applyNumberFormat="1" applyFont="1" applyFill="1"/>
    <xf numFmtId="0" fontId="5" fillId="0" borderId="0" xfId="0" applyFont="1"/>
    <xf numFmtId="0" fontId="9" fillId="5" borderId="0" xfId="0" applyFont="1" applyFill="1"/>
    <xf numFmtId="0" fontId="10" fillId="2" borderId="0" xfId="0" applyFont="1" applyFill="1"/>
    <xf numFmtId="0" fontId="0" fillId="4" borderId="0" xfId="0" applyFill="1"/>
    <xf numFmtId="0" fontId="9" fillId="6" borderId="0" xfId="0" applyFont="1" applyFill="1"/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52EF"/>
  </sheetPr>
  <dimension ref="A1:E15"/>
  <sheetFormatPr defaultRowHeight="15" outlineLevelRow="0" outlineLevelCol="0" x14ac:dyDescent="55"/>
  <cols>
    <col min="1" max="1" width="38" customWidth="1"/>
    <col min="2" max="4" width="20" customWidth="1"/>
    <col min="5" max="5" width="15" customWidth="1"/>
  </cols>
  <sheetData>
    <row r="1" ht="45" customHeight="1" spans="1:5" x14ac:dyDescent="0.25">
      <c r="A1" s="1" t="s">
        <v>0</v>
      </c>
      <c r="B1" s="1"/>
      <c r="C1" s="1"/>
      <c r="D1" s="1"/>
      <c r="E1" s="1"/>
    </row>
    <row r="2" ht="30" customHeight="1" spans="1:5" x14ac:dyDescent="0.25">
      <c r="A2" s="2" t="s">
        <v>1</v>
      </c>
      <c r="B2" s="2"/>
      <c r="C2" s="2"/>
      <c r="D2" s="2"/>
      <c r="E2" s="2"/>
    </row>
    <row r="3" spans="1:5" x14ac:dyDescent="0.25">
      <c r="A3" s="3" t="s">
        <v>2</v>
      </c>
      <c r="B3" s="3"/>
      <c r="C3" s="3"/>
      <c r="D3" s="3"/>
      <c r="E3" s="3"/>
    </row>
    <row r="5" spans="1:5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ht="35" customHeight="1" spans="2:5" x14ac:dyDescent="0.25">
      <c r="B6" s="6">
        <v>209948</v>
      </c>
      <c r="C6" s="6">
        <v>301441</v>
      </c>
      <c r="D6" s="6">
        <f>C6-B6</f>
      </c>
      <c r="E6" s="7">
        <f>IFERROR(1-B6/C6,0)</f>
      </c>
    </row>
    <row r="8" spans="1:5" x14ac:dyDescent="0.25">
      <c r="A8" s="8" t="s">
        <v>8</v>
      </c>
      <c r="B8" s="8" t="s">
        <v>4</v>
      </c>
      <c r="C8" s="8" t="s">
        <v>5</v>
      </c>
      <c r="D8" s="8" t="s">
        <v>6</v>
      </c>
      <c r="E8" s="8" t="s">
        <v>7</v>
      </c>
    </row>
    <row r="9" spans="1:5" x14ac:dyDescent="0.25">
      <c r="A9" s="9" t="s">
        <v>9</v>
      </c>
      <c r="B9" s="10">
        <v>61200</v>
      </c>
      <c r="C9" s="10">
        <f>IFERROR(B9/(1-0.3),0)</f>
      </c>
      <c r="D9" s="10">
        <f>C9-B9</f>
      </c>
      <c r="E9" s="11">
        <f>IFERROR(1-B9/C9,0)</f>
      </c>
    </row>
    <row r="10" spans="1:5" x14ac:dyDescent="0.25">
      <c r="A10" s="12" t="s">
        <v>10</v>
      </c>
      <c r="B10" s="13">
        <v>99</v>
      </c>
      <c r="C10" s="13">
        <f>IFERROR(B10/(1-0.15),0)</f>
      </c>
      <c r="D10" s="13">
        <f>C10-B10</f>
      </c>
      <c r="E10" s="14">
        <f>IFERROR(1-B10/C10,0)</f>
      </c>
    </row>
    <row r="11" spans="1:5" x14ac:dyDescent="0.25">
      <c r="A11" s="9" t="s">
        <v>11</v>
      </c>
      <c r="B11" s="10">
        <v>45000</v>
      </c>
      <c r="C11" s="10">
        <f>IFERROR(B11/(1-0.3),0)</f>
      </c>
      <c r="D11" s="10">
        <f>C11-B11</f>
      </c>
      <c r="E11" s="11">
        <f>IFERROR(1-B11/C11,0)</f>
      </c>
    </row>
    <row r="12" spans="1:5" x14ac:dyDescent="0.25">
      <c r="A12" s="12" t="s">
        <v>12</v>
      </c>
      <c r="B12" s="13">
        <v>61200</v>
      </c>
      <c r="C12" s="13">
        <f>IFERROR(B12/(1-0.3),0)</f>
      </c>
      <c r="D12" s="13">
        <f>C12-B12</f>
      </c>
      <c r="E12" s="14">
        <f>IFERROR(1-B12/C12,0)</f>
      </c>
    </row>
    <row r="13" spans="1:3" x14ac:dyDescent="0.25">
      <c r="A13" t="s">
        <v>13</v>
      </c>
      <c r="B13" s="10">
        <v>9998</v>
      </c>
      <c r="C13" s="10">
        <v>9998</v>
      </c>
    </row>
    <row r="14" spans="1:3" x14ac:dyDescent="0.25">
      <c r="A14" t="s">
        <v>14</v>
      </c>
      <c r="B14" s="10">
        <v>4449</v>
      </c>
      <c r="C14" s="10">
        <v>4449</v>
      </c>
    </row>
    <row r="15" spans="1:5" x14ac:dyDescent="0.25">
      <c r="A15" s="15" t="s">
        <v>3</v>
      </c>
      <c r="B15" s="6">
        <f>SUM(B9:B14)</f>
      </c>
      <c r="C15" s="6">
        <f>SUM(C9:C14)</f>
      </c>
      <c r="D15" s="6">
        <f>C15-B15</f>
      </c>
      <c r="E15" s="7">
        <f>IFERROR(1-B15/C15,0)</f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B41"/>
  <sheetFormatPr defaultRowHeight="15" outlineLevelRow="0" outlineLevelCol="0" x14ac:dyDescent="55"/>
  <cols>
    <col min="1" max="1" width="22" customWidth="1"/>
    <col min="2" max="2" width="30" customWidth="1"/>
  </cols>
  <sheetData>
    <row r="1" ht="40" customHeight="1" spans="1:2" x14ac:dyDescent="0.25">
      <c r="A1" s="16" t="s">
        <v>15</v>
      </c>
      <c r="B1" s="16"/>
    </row>
    <row r="3" spans="1:2" x14ac:dyDescent="0.25">
      <c r="A3" s="17" t="s">
        <v>16</v>
      </c>
      <c r="B3" s="17"/>
    </row>
    <row r="4" spans="1:2" x14ac:dyDescent="0.25">
      <c r="A4" s="18" t="s">
        <v>17</v>
      </c>
      <c r="B4" s="18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s="18" t="s">
        <v>21</v>
      </c>
      <c r="B6" s="18" t="s">
        <v>22</v>
      </c>
    </row>
    <row r="7" spans="1:2" x14ac:dyDescent="0.25">
      <c r="A7" t="s">
        <v>23</v>
      </c>
      <c r="B7" t="s">
        <v>24</v>
      </c>
    </row>
    <row r="8" spans="1:2" x14ac:dyDescent="0.25">
      <c r="A8" s="18" t="s">
        <v>25</v>
      </c>
      <c r="B8" s="18" t="s">
        <v>26</v>
      </c>
    </row>
    <row r="9" spans="1:2" x14ac:dyDescent="0.25">
      <c r="A9" t="s">
        <v>4</v>
      </c>
      <c r="B9" t="s">
        <v>27</v>
      </c>
    </row>
    <row r="10" spans="1:2" x14ac:dyDescent="0.25">
      <c r="A10" s="18" t="s">
        <v>28</v>
      </c>
      <c r="B10" s="18" t="s">
        <v>29</v>
      </c>
    </row>
    <row r="11" spans="1:2" x14ac:dyDescent="0.25">
      <c r="A11" t="s">
        <v>30</v>
      </c>
      <c r="B11" t="s">
        <v>31</v>
      </c>
    </row>
    <row r="13" spans="1:2" x14ac:dyDescent="0.25">
      <c r="A13" s="17" t="s">
        <v>32</v>
      </c>
      <c r="B13" s="17"/>
    </row>
    <row r="14" spans="1:2" x14ac:dyDescent="0.25">
      <c r="A14" s="18" t="s">
        <v>17</v>
      </c>
      <c r="B14" s="18" t="s">
        <v>33</v>
      </c>
    </row>
    <row r="15" spans="1:2" x14ac:dyDescent="0.25">
      <c r="A15" t="s">
        <v>19</v>
      </c>
      <c r="B15" t="s">
        <v>34</v>
      </c>
    </row>
    <row r="16" spans="1:2" x14ac:dyDescent="0.25">
      <c r="A16" s="18" t="s">
        <v>21</v>
      </c>
      <c r="B16" s="18" t="s">
        <v>35</v>
      </c>
    </row>
    <row r="17" spans="1:2" x14ac:dyDescent="0.25">
      <c r="A17" t="s">
        <v>23</v>
      </c>
      <c r="B17" t="s">
        <v>24</v>
      </c>
    </row>
    <row r="18" spans="1:2" x14ac:dyDescent="0.25">
      <c r="A18" s="18" t="s">
        <v>25</v>
      </c>
      <c r="B18" s="18" t="s">
        <v>36</v>
      </c>
    </row>
    <row r="19" spans="1:2" x14ac:dyDescent="0.25">
      <c r="A19" t="s">
        <v>4</v>
      </c>
      <c r="B19" t="s">
        <v>37</v>
      </c>
    </row>
    <row r="20" spans="1:2" x14ac:dyDescent="0.25">
      <c r="A20" s="18" t="s">
        <v>28</v>
      </c>
      <c r="B20" s="18" t="s">
        <v>38</v>
      </c>
    </row>
    <row r="21" spans="1:2" x14ac:dyDescent="0.25">
      <c r="A21" t="s">
        <v>30</v>
      </c>
      <c r="B21" t="s">
        <v>39</v>
      </c>
    </row>
    <row r="23" spans="1:2" x14ac:dyDescent="0.25">
      <c r="A23" s="17" t="s">
        <v>40</v>
      </c>
      <c r="B23" s="17"/>
    </row>
    <row r="24" spans="1:2" x14ac:dyDescent="0.25">
      <c r="A24" s="18" t="s">
        <v>17</v>
      </c>
      <c r="B24" s="18" t="s">
        <v>41</v>
      </c>
    </row>
    <row r="25" spans="1:2" x14ac:dyDescent="0.25">
      <c r="A25" t="s">
        <v>19</v>
      </c>
      <c r="B25" t="s">
        <v>42</v>
      </c>
    </row>
    <row r="26" spans="1:2" x14ac:dyDescent="0.25">
      <c r="A26" s="18" t="s">
        <v>21</v>
      </c>
      <c r="B26" s="18" t="s">
        <v>43</v>
      </c>
    </row>
    <row r="27" spans="1:2" x14ac:dyDescent="0.25">
      <c r="A27" t="s">
        <v>23</v>
      </c>
      <c r="B27" t="s">
        <v>24</v>
      </c>
    </row>
    <row r="28" spans="1:2" x14ac:dyDescent="0.25">
      <c r="A28" s="18" t="s">
        <v>25</v>
      </c>
      <c r="B28" s="18" t="s">
        <v>44</v>
      </c>
    </row>
    <row r="29" spans="1:2" x14ac:dyDescent="0.25">
      <c r="A29" t="s">
        <v>4</v>
      </c>
      <c r="B29" t="s">
        <v>45</v>
      </c>
    </row>
    <row r="30" spans="1:2" x14ac:dyDescent="0.25">
      <c r="A30" s="18" t="s">
        <v>28</v>
      </c>
      <c r="B30" s="18" t="s">
        <v>46</v>
      </c>
    </row>
    <row r="31" spans="1:2" x14ac:dyDescent="0.25">
      <c r="A31" t="s">
        <v>30</v>
      </c>
      <c r="B31" t="s">
        <v>31</v>
      </c>
    </row>
    <row r="33" spans="1:2" x14ac:dyDescent="0.25">
      <c r="A33" s="17" t="s">
        <v>47</v>
      </c>
      <c r="B33" s="17"/>
    </row>
    <row r="34" spans="1:2" x14ac:dyDescent="0.25">
      <c r="A34" s="18" t="s">
        <v>17</v>
      </c>
      <c r="B34" s="18" t="s">
        <v>18</v>
      </c>
    </row>
    <row r="35" spans="1:2" x14ac:dyDescent="0.25">
      <c r="A35" t="s">
        <v>19</v>
      </c>
      <c r="B35" t="s">
        <v>20</v>
      </c>
    </row>
    <row r="36" spans="1:2" x14ac:dyDescent="0.25">
      <c r="A36" s="18" t="s">
        <v>21</v>
      </c>
      <c r="B36" s="18" t="s">
        <v>22</v>
      </c>
    </row>
    <row r="37" spans="1:2" x14ac:dyDescent="0.25">
      <c r="A37" t="s">
        <v>23</v>
      </c>
      <c r="B37" t="s">
        <v>24</v>
      </c>
    </row>
    <row r="38" spans="1:2" x14ac:dyDescent="0.25">
      <c r="A38" s="18" t="s">
        <v>25</v>
      </c>
      <c r="B38" s="18" t="s">
        <v>26</v>
      </c>
    </row>
    <row r="39" spans="1:2" x14ac:dyDescent="0.25">
      <c r="A39" t="s">
        <v>4</v>
      </c>
      <c r="B39" t="s">
        <v>27</v>
      </c>
    </row>
    <row r="40" spans="1:2" x14ac:dyDescent="0.25">
      <c r="A40" s="18" t="s">
        <v>28</v>
      </c>
      <c r="B40" s="18" t="s">
        <v>29</v>
      </c>
    </row>
    <row r="41" spans="1:2" x14ac:dyDescent="0.25">
      <c r="A41" t="s">
        <v>30</v>
      </c>
      <c r="B41" t="s">
        <v>31</v>
      </c>
    </row>
  </sheetData>
  <mergeCells count="5">
    <mergeCell ref="A1:B1"/>
    <mergeCell ref="A3:B3"/>
    <mergeCell ref="A13:B13"/>
    <mergeCell ref="A23:B23"/>
    <mergeCell ref="A33:B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39C12"/>
  </sheetPr>
  <dimension ref="A1:E7"/>
  <sheetFormatPr defaultRowHeight="15" outlineLevelRow="0" outlineLevelCol="0" x14ac:dyDescent="55"/>
  <cols>
    <col min="1" max="1" width="32" customWidth="1"/>
    <col min="2" max="3" width="18" customWidth="1"/>
    <col min="4" max="4" width="15" customWidth="1"/>
    <col min="5" max="5" width="20" customWidth="1"/>
  </cols>
  <sheetData>
    <row r="1" ht="40" customHeight="1" spans="1:5" x14ac:dyDescent="0.25">
      <c r="A1" s="19" t="s">
        <v>48</v>
      </c>
      <c r="B1" s="19"/>
      <c r="C1" s="19"/>
      <c r="D1" s="19"/>
      <c r="E1" s="19"/>
    </row>
    <row r="3" spans="1:5" x14ac:dyDescent="0.25">
      <c r="A3" s="20" t="s">
        <v>49</v>
      </c>
      <c r="B3" s="20" t="s">
        <v>4</v>
      </c>
      <c r="C3" s="20" t="s">
        <v>5</v>
      </c>
      <c r="D3" s="20" t="s">
        <v>7</v>
      </c>
      <c r="E3" s="20" t="s">
        <v>6</v>
      </c>
    </row>
    <row r="4" spans="1:5" x14ac:dyDescent="0.25">
      <c r="A4" t="s">
        <v>50</v>
      </c>
      <c r="B4" s="10">
        <v>61200</v>
      </c>
      <c r="C4" s="10">
        <v>87429</v>
      </c>
      <c r="D4" s="11">
        <v>0.3</v>
      </c>
      <c r="E4" s="10">
        <v>26229</v>
      </c>
    </row>
    <row r="5" spans="1:5" x14ac:dyDescent="0.25">
      <c r="A5" t="s">
        <v>51</v>
      </c>
      <c r="B5" s="10">
        <v>99</v>
      </c>
      <c r="C5" s="10">
        <v>116</v>
      </c>
      <c r="D5" s="11">
        <v>0.15</v>
      </c>
      <c r="E5" s="10">
        <v>17</v>
      </c>
    </row>
    <row r="6" spans="1:5" x14ac:dyDescent="0.25">
      <c r="A6" t="s">
        <v>52</v>
      </c>
      <c r="B6" s="10">
        <v>45000</v>
      </c>
      <c r="C6" s="10">
        <v>64286</v>
      </c>
      <c r="D6" s="11">
        <v>0.3</v>
      </c>
      <c r="E6" s="10">
        <v>19286</v>
      </c>
    </row>
    <row r="7" spans="1:5" x14ac:dyDescent="0.25">
      <c r="A7" t="s">
        <v>53</v>
      </c>
      <c r="B7" s="10">
        <v>61200</v>
      </c>
      <c r="C7" s="10">
        <v>87429</v>
      </c>
      <c r="D7" s="11">
        <v>0.3</v>
      </c>
      <c r="E7" s="10">
        <v>26229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Display Specifications</vt:lpstr>
      <vt:lpstr>Margin Waterfall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2026-04-08T13:20:15Z</dcterms:created>
  <dcterms:modified xsi:type="dcterms:W3CDTF">2026-04-08T13:20:15Z</dcterms:modified>
</cp:coreProperties>
</file>